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ultitechsystems.sharepoint.com/teams/Sensors/Shared Documents/General/"/>
    </mc:Choice>
  </mc:AlternateContent>
  <xr:revisionPtr revIDLastSave="5187" documentId="8_{39238BC6-37F4-42E5-A560-305662FF8792}" xr6:coauthVersionLast="47" xr6:coauthVersionMax="47" xr10:uidLastSave="{218B50C7-3F2C-4AE6-B834-70E27FA23B69}"/>
  <bookViews>
    <workbookView xWindow="0" yWindow="0" windowWidth="28800" windowHeight="17550" tabRatio="818" activeTab="2" xr2:uid="{B28CB7EF-E88A-4D29-AAE2-1242B4C1093D}"/>
  </bookViews>
  <sheets>
    <sheet name="Uplink Decoder 2" sheetId="10" r:id="rId1"/>
    <sheet name="Uplink Message Types" sheetId="2" state="hidden" r:id="rId2"/>
    <sheet name="Downlink Encoder" sheetId="7" r:id="rId3"/>
    <sheet name="Tables" sheetId="8" state="hidden" r:id="rId4"/>
    <sheet name="Downlink Decoder 2" sheetId="9" r:id="rId5"/>
    <sheet name="Downlink Decoder" sheetId="4" state="hidden" r:id="rId6"/>
    <sheet name="Downlink Message types" sheetId="5" state="hidden" r:id="rId7"/>
    <sheet name="MTCT300" sheetId="11" r:id="rId8"/>
    <sheet name="SW version differences" sheetId="6" r:id="rId9"/>
  </sheets>
  <definedNames>
    <definedName name="_xlnm._FilterDatabase" localSheetId="4" hidden="1">'Downlink Decoder 2'!$A$1:$M$91</definedName>
    <definedName name="_xlnm._FilterDatabase" localSheetId="2" hidden="1">'Downlink Encoder'!$A$1:$C$79</definedName>
    <definedName name="_xlnm._FilterDatabase" localSheetId="0" hidden="1">'Uplink Decoder 2'!$A$1:$O$47</definedName>
    <definedName name="_xlnm.Criteria" localSheetId="4">'Downlink Decoder 2'!$B:$B</definedName>
    <definedName name="DL_Desc">DLMessages[Description]</definedName>
    <definedName name="DL_Type">DLMessages[Type]</definedName>
    <definedName name="IAQ_message_ID">Tables!$L$2:$L$37</definedName>
    <definedName name="IAQ_Message_Type">Tables!$M$2:$M$37</definedName>
    <definedName name="ThermocoupleType">Tables!$J$2:$J$11</definedName>
    <definedName name="Threshold_sample_size">Tables!$N$2:$N$257</definedName>
    <definedName name="Threshold_Sample5">Tables!$O$2:$O$257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7" l="1"/>
  <c r="U79" i="7"/>
  <c r="T79" i="7"/>
  <c r="S79" i="7"/>
  <c r="R79" i="7"/>
  <c r="Q79" i="7"/>
  <c r="P79" i="7"/>
  <c r="O79" i="7"/>
  <c r="L59" i="9"/>
  <c r="K59" i="9"/>
  <c r="J59" i="9"/>
  <c r="I59" i="9"/>
  <c r="H59" i="9"/>
  <c r="G59" i="9"/>
  <c r="F59" i="9"/>
  <c r="E59" i="9"/>
  <c r="D59" i="9"/>
  <c r="J23" i="10"/>
  <c r="I23" i="10"/>
  <c r="H23" i="10"/>
  <c r="H29" i="10"/>
  <c r="G3" i="10" l="1"/>
  <c r="F3" i="10"/>
  <c r="N79" i="7"/>
  <c r="V79" i="7" s="1"/>
  <c r="J77" i="7"/>
  <c r="I77" i="7"/>
  <c r="H77" i="7"/>
  <c r="L75" i="7"/>
  <c r="K75" i="7"/>
  <c r="J75" i="7"/>
  <c r="I75" i="7"/>
  <c r="L73" i="7"/>
  <c r="K73" i="7"/>
  <c r="J73" i="7"/>
  <c r="I73" i="7"/>
  <c r="J71" i="7"/>
  <c r="I71" i="7"/>
  <c r="H71" i="7"/>
  <c r="L69" i="7"/>
  <c r="K69" i="7"/>
  <c r="J69" i="7"/>
  <c r="I69" i="7"/>
  <c r="J67" i="7"/>
  <c r="I67" i="7"/>
  <c r="H67" i="7"/>
  <c r="L65" i="7"/>
  <c r="K65" i="7"/>
  <c r="J65" i="7"/>
  <c r="I65" i="7"/>
  <c r="J63" i="7"/>
  <c r="I63" i="7"/>
  <c r="H63" i="7"/>
  <c r="L61" i="7"/>
  <c r="K61" i="7"/>
  <c r="J61" i="7"/>
  <c r="I61" i="7"/>
  <c r="J59" i="7"/>
  <c r="I59" i="7"/>
  <c r="H59" i="7"/>
  <c r="L57" i="7"/>
  <c r="K57" i="7"/>
  <c r="J57" i="7"/>
  <c r="I57" i="7"/>
  <c r="L55" i="7"/>
  <c r="K55" i="7"/>
  <c r="J55" i="7"/>
  <c r="I55" i="7"/>
  <c r="J53" i="7"/>
  <c r="I53" i="7"/>
  <c r="H53" i="7"/>
  <c r="P51" i="7"/>
  <c r="O51" i="7"/>
  <c r="N51" i="7"/>
  <c r="M51" i="7"/>
  <c r="F49" i="7"/>
  <c r="G49" i="7" s="1"/>
  <c r="B49" i="7" s="1"/>
  <c r="L47" i="7"/>
  <c r="K47" i="7"/>
  <c r="J47" i="7"/>
  <c r="I47" i="7"/>
  <c r="J45" i="7"/>
  <c r="I45" i="7"/>
  <c r="H45" i="7"/>
  <c r="R43" i="7"/>
  <c r="Q43" i="7"/>
  <c r="P43" i="7"/>
  <c r="O43" i="7"/>
  <c r="N43" i="7"/>
  <c r="M43" i="7"/>
  <c r="L43" i="7"/>
  <c r="N41" i="7"/>
  <c r="M41" i="7"/>
  <c r="L41" i="7"/>
  <c r="K41" i="7"/>
  <c r="J41" i="7"/>
  <c r="S39" i="7"/>
  <c r="R39" i="7"/>
  <c r="Q39" i="7"/>
  <c r="P39" i="7"/>
  <c r="O39" i="7"/>
  <c r="N39" i="7"/>
  <c r="M39" i="7"/>
  <c r="Q37" i="7"/>
  <c r="P37" i="7"/>
  <c r="O37" i="7"/>
  <c r="N37" i="7"/>
  <c r="J35" i="7"/>
  <c r="I35" i="7"/>
  <c r="H35" i="7"/>
  <c r="P33" i="7"/>
  <c r="O33" i="7"/>
  <c r="N33" i="7"/>
  <c r="M33" i="7"/>
  <c r="L33" i="7"/>
  <c r="U31" i="7"/>
  <c r="T31" i="7"/>
  <c r="S31" i="7"/>
  <c r="R31" i="7"/>
  <c r="Q31" i="7"/>
  <c r="P31" i="7"/>
  <c r="O31" i="7"/>
  <c r="Q29" i="7"/>
  <c r="P29" i="7"/>
  <c r="O29" i="7"/>
  <c r="N29" i="7"/>
  <c r="P27" i="7"/>
  <c r="O27" i="7"/>
  <c r="N27" i="7"/>
  <c r="M27" i="7"/>
  <c r="L27" i="7"/>
  <c r="P25" i="7"/>
  <c r="O25" i="7"/>
  <c r="N25" i="7"/>
  <c r="M25" i="7"/>
  <c r="L25" i="7"/>
  <c r="L23" i="7"/>
  <c r="K23" i="7"/>
  <c r="J23" i="7"/>
  <c r="N21" i="7"/>
  <c r="M21" i="7"/>
  <c r="L21" i="7"/>
  <c r="F19" i="7"/>
  <c r="G19" i="7" s="1"/>
  <c r="P17" i="7"/>
  <c r="O17" i="7"/>
  <c r="N17" i="7"/>
  <c r="M17" i="7"/>
  <c r="K15" i="7"/>
  <c r="J15" i="7"/>
  <c r="I15" i="7"/>
  <c r="J13" i="7"/>
  <c r="I13" i="7"/>
  <c r="H13" i="7"/>
  <c r="U11" i="7"/>
  <c r="T11" i="7"/>
  <c r="S11" i="7"/>
  <c r="R11" i="7"/>
  <c r="Q11" i="7"/>
  <c r="P11" i="7"/>
  <c r="O11" i="7"/>
  <c r="K9" i="7"/>
  <c r="J9" i="7"/>
  <c r="I9" i="7"/>
  <c r="L7" i="7"/>
  <c r="K7" i="7"/>
  <c r="J7" i="7"/>
  <c r="I7" i="7"/>
  <c r="M5" i="7"/>
  <c r="L5" i="7"/>
  <c r="K5" i="7"/>
  <c r="J5" i="7"/>
  <c r="O3" i="7"/>
  <c r="N3" i="7"/>
  <c r="M3" i="7"/>
  <c r="L3" i="7"/>
  <c r="K3" i="7"/>
  <c r="E5" i="9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 a="1"/>
  <c r="L4" i="11" s="1"/>
  <c r="G19" i="10"/>
  <c r="K53" i="7" l="1"/>
  <c r="B53" i="7" s="1"/>
  <c r="K45" i="7"/>
  <c r="B45" i="7" s="1"/>
  <c r="K59" i="7"/>
  <c r="B59" i="7" s="1"/>
  <c r="O21" i="7"/>
  <c r="B21" i="7" s="1"/>
  <c r="L9" i="7"/>
  <c r="K63" i="7"/>
  <c r="B63" i="7" s="1"/>
  <c r="M65" i="7"/>
  <c r="B65" i="7" s="1"/>
  <c r="N5" i="7"/>
  <c r="B5" i="7" s="1"/>
  <c r="M75" i="7"/>
  <c r="B75" i="7" s="1"/>
  <c r="K67" i="7"/>
  <c r="B67" i="7" s="1"/>
  <c r="M23" i="7"/>
  <c r="K77" i="7"/>
  <c r="B77" i="7" s="1"/>
  <c r="M61" i="7"/>
  <c r="B61" i="7" s="1"/>
  <c r="R37" i="7"/>
  <c r="B37" i="7" s="1"/>
  <c r="V11" i="7"/>
  <c r="B11" i="7" s="1"/>
  <c r="K71" i="7"/>
  <c r="B71" i="7" s="1"/>
  <c r="M73" i="7"/>
  <c r="B73" i="7" s="1"/>
  <c r="M7" i="7"/>
  <c r="O41" i="7"/>
  <c r="B41" i="7" s="1"/>
  <c r="Q51" i="7"/>
  <c r="B51" i="7" s="1"/>
  <c r="Q25" i="7"/>
  <c r="B25" i="7" s="1"/>
  <c r="K13" i="7"/>
  <c r="B13" i="7" s="1"/>
  <c r="Q33" i="7"/>
  <c r="B33" i="7" s="1"/>
  <c r="K35" i="7"/>
  <c r="B35" i="7" s="1"/>
  <c r="L15" i="7"/>
  <c r="B15" i="7" s="1"/>
  <c r="Q27" i="7"/>
  <c r="B27" i="7" s="1"/>
  <c r="S43" i="7"/>
  <c r="B43" i="7" s="1"/>
  <c r="R29" i="7"/>
  <c r="B29" i="7" s="1"/>
  <c r="Q17" i="7"/>
  <c r="M55" i="7"/>
  <c r="B55" i="7" s="1"/>
  <c r="T39" i="7"/>
  <c r="B39" i="7" s="1"/>
  <c r="B79" i="7"/>
  <c r="M57" i="7"/>
  <c r="B57" i="7" s="1"/>
  <c r="M69" i="7"/>
  <c r="B69" i="7" s="1"/>
  <c r="M47" i="7"/>
  <c r="B47" i="7" s="1"/>
  <c r="P3" i="7"/>
  <c r="B3" i="7" s="1"/>
  <c r="V31" i="7"/>
  <c r="B31" i="7" s="1"/>
  <c r="H3" i="11"/>
  <c r="G3" i="11"/>
  <c r="D3" i="11"/>
  <c r="E3" i="11" s="1"/>
  <c r="C3" i="11"/>
  <c r="B3" i="11"/>
  <c r="F3" i="11" l="1"/>
  <c r="E73" i="9" l="1"/>
  <c r="G23" i="10"/>
  <c r="F23" i="10"/>
  <c r="E23" i="10"/>
  <c r="D23" i="10"/>
  <c r="J17" i="10"/>
  <c r="I17" i="10"/>
  <c r="H17" i="10"/>
  <c r="G17" i="10"/>
  <c r="F17" i="10"/>
  <c r="E17" i="10"/>
  <c r="D17" i="10"/>
  <c r="K15" i="10"/>
  <c r="J15" i="10"/>
  <c r="I15" i="10"/>
  <c r="H15" i="10"/>
  <c r="G15" i="10"/>
  <c r="F15" i="10"/>
  <c r="E15" i="10"/>
  <c r="D15" i="10"/>
  <c r="H19" i="10"/>
  <c r="F19" i="10"/>
  <c r="E19" i="10"/>
  <c r="D1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D27" i="9" l="1"/>
  <c r="F39" i="9"/>
  <c r="E39" i="9"/>
  <c r="D39" i="9"/>
  <c r="G41" i="9"/>
  <c r="F41" i="9"/>
  <c r="E41" i="9"/>
  <c r="D41" i="9"/>
  <c r="F77" i="9"/>
  <c r="E77" i="9"/>
  <c r="D77" i="9"/>
  <c r="G79" i="9"/>
  <c r="F79" i="9"/>
  <c r="E79" i="9"/>
  <c r="D79" i="9"/>
  <c r="F47" i="9"/>
  <c r="E47" i="9"/>
  <c r="D47" i="9"/>
  <c r="G49" i="9"/>
  <c r="F49" i="9"/>
  <c r="E49" i="9"/>
  <c r="D49" i="9"/>
  <c r="F55" i="9"/>
  <c r="E55" i="9"/>
  <c r="D55" i="9"/>
  <c r="G57" i="9"/>
  <c r="F57" i="9"/>
  <c r="E57" i="9"/>
  <c r="D57" i="9"/>
  <c r="F51" i="9"/>
  <c r="E51" i="9"/>
  <c r="D51" i="9"/>
  <c r="G53" i="9"/>
  <c r="F53" i="9"/>
  <c r="E53" i="9"/>
  <c r="D53" i="9"/>
  <c r="F43" i="9"/>
  <c r="E43" i="9"/>
  <c r="D43" i="9"/>
  <c r="G45" i="9"/>
  <c r="F45" i="9"/>
  <c r="E45" i="9"/>
  <c r="D45" i="9"/>
  <c r="K35" i="9"/>
  <c r="J35" i="9"/>
  <c r="I35" i="9"/>
  <c r="H35" i="9"/>
  <c r="G35" i="9"/>
  <c r="F35" i="9"/>
  <c r="E35" i="9"/>
  <c r="D35" i="9"/>
  <c r="G67" i="9"/>
  <c r="F67" i="9"/>
  <c r="E67" i="9"/>
  <c r="D67" i="9"/>
  <c r="G23" i="9"/>
  <c r="F23" i="9"/>
  <c r="E23" i="9"/>
  <c r="D23" i="9"/>
  <c r="F21" i="9"/>
  <c r="E21" i="9"/>
  <c r="D21" i="9"/>
  <c r="J17" i="9"/>
  <c r="I17" i="9"/>
  <c r="H17" i="9"/>
  <c r="G17" i="9"/>
  <c r="F17" i="9"/>
  <c r="E17" i="9"/>
  <c r="D17" i="9"/>
  <c r="H15" i="9"/>
  <c r="G15" i="9"/>
  <c r="F15" i="9"/>
  <c r="E15" i="9"/>
  <c r="D15" i="9"/>
  <c r="K13" i="9"/>
  <c r="J13" i="9"/>
  <c r="I13" i="9"/>
  <c r="H13" i="9"/>
  <c r="G13" i="9"/>
  <c r="F13" i="9"/>
  <c r="E13" i="9"/>
  <c r="D13" i="9"/>
  <c r="L11" i="9"/>
  <c r="K11" i="9"/>
  <c r="J11" i="9"/>
  <c r="I11" i="9"/>
  <c r="H11" i="9"/>
  <c r="G11" i="9"/>
  <c r="F11" i="9"/>
  <c r="E11" i="9"/>
  <c r="D11" i="9"/>
  <c r="H13" i="10" l="1"/>
  <c r="G13" i="10"/>
  <c r="D13" i="10"/>
  <c r="E13" i="10"/>
  <c r="F13" i="10"/>
  <c r="I21" i="10"/>
  <c r="H21" i="10"/>
  <c r="G21" i="10"/>
  <c r="D21" i="10"/>
  <c r="E21" i="10"/>
  <c r="F21" i="10"/>
  <c r="H9" i="10"/>
  <c r="G9" i="10"/>
  <c r="D9" i="10"/>
  <c r="E9" i="10"/>
  <c r="F9" i="10"/>
  <c r="D3" i="10"/>
  <c r="E3" i="10"/>
  <c r="I5" i="10"/>
  <c r="H5" i="10"/>
  <c r="G5" i="10"/>
  <c r="D5" i="10"/>
  <c r="E5" i="10"/>
  <c r="F5" i="10"/>
  <c r="H41" i="10"/>
  <c r="G41" i="10"/>
  <c r="D41" i="10"/>
  <c r="E41" i="10"/>
  <c r="F41" i="10"/>
  <c r="H37" i="10"/>
  <c r="G37" i="10"/>
  <c r="F37" i="10"/>
  <c r="E37" i="10"/>
  <c r="D37" i="10"/>
  <c r="H45" i="10"/>
  <c r="G45" i="10"/>
  <c r="F45" i="10"/>
  <c r="E45" i="10"/>
  <c r="D45" i="10"/>
  <c r="G29" i="10"/>
  <c r="F29" i="10"/>
  <c r="E29" i="10"/>
  <c r="D29" i="10"/>
  <c r="H43" i="10"/>
  <c r="H47" i="10"/>
  <c r="G43" i="10"/>
  <c r="H35" i="10"/>
  <c r="G35" i="10"/>
  <c r="G47" i="10" l="1"/>
  <c r="G7" i="10"/>
  <c r="D7" i="10"/>
  <c r="E7" i="10"/>
  <c r="F7" i="10"/>
  <c r="D47" i="10"/>
  <c r="E47" i="10"/>
  <c r="F47" i="10"/>
  <c r="D35" i="10"/>
  <c r="E35" i="10"/>
  <c r="F35" i="10"/>
  <c r="D43" i="10"/>
  <c r="E43" i="10"/>
  <c r="F43" i="10"/>
  <c r="H25" i="10"/>
  <c r="G25" i="10"/>
  <c r="G11" i="10"/>
  <c r="D11" i="10"/>
  <c r="E11" i="10"/>
  <c r="F11" i="10"/>
  <c r="D25" i="10"/>
  <c r="E25" i="10"/>
  <c r="F25" i="10"/>
  <c r="G33" i="10"/>
  <c r="F33" i="10"/>
  <c r="E33" i="10"/>
  <c r="D33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J27" i="10"/>
  <c r="I27" i="10"/>
  <c r="H27" i="10"/>
  <c r="G27" i="10"/>
  <c r="F27" i="10"/>
  <c r="E27" i="10"/>
  <c r="D27" i="10"/>
  <c r="F83" i="9" l="1"/>
  <c r="E83" i="9"/>
  <c r="D83" i="9"/>
  <c r="J81" i="9"/>
  <c r="I81" i="9"/>
  <c r="H81" i="9"/>
  <c r="E81" i="9"/>
  <c r="G81" i="9" s="1"/>
  <c r="D81" i="9"/>
  <c r="M75" i="9"/>
  <c r="L75" i="9"/>
  <c r="K75" i="9"/>
  <c r="J75" i="9"/>
  <c r="I75" i="9"/>
  <c r="H75" i="9"/>
  <c r="D75" i="9"/>
  <c r="E75" i="9"/>
  <c r="F75" i="9"/>
  <c r="G75" i="9"/>
  <c r="K73" i="9"/>
  <c r="J73" i="9"/>
  <c r="I73" i="9"/>
  <c r="F73" i="9"/>
  <c r="H73" i="9" s="1"/>
  <c r="D73" i="9"/>
  <c r="J71" i="9"/>
  <c r="I71" i="9"/>
  <c r="H71" i="9"/>
  <c r="E71" i="9"/>
  <c r="F71" i="9" s="1"/>
  <c r="D71" i="9"/>
  <c r="J69" i="9"/>
  <c r="I69" i="9"/>
  <c r="H69" i="9"/>
  <c r="E69" i="9"/>
  <c r="F69" i="9" s="1"/>
  <c r="D69" i="9"/>
  <c r="H63" i="9"/>
  <c r="G63" i="9"/>
  <c r="F63" i="9"/>
  <c r="E63" i="9"/>
  <c r="D63" i="9"/>
  <c r="J61" i="9"/>
  <c r="I61" i="9"/>
  <c r="H61" i="9"/>
  <c r="G61" i="9"/>
  <c r="F61" i="9"/>
  <c r="E61" i="9"/>
  <c r="D61" i="9"/>
  <c r="F81" i="9" l="1"/>
  <c r="G73" i="9"/>
  <c r="G71" i="9"/>
  <c r="G69" i="9"/>
  <c r="D37" i="9" l="1"/>
  <c r="D9" i="9"/>
  <c r="J33" i="9"/>
  <c r="K33" i="9" s="1"/>
  <c r="H33" i="9"/>
  <c r="I33" i="9" s="1"/>
  <c r="G33" i="9"/>
  <c r="F33" i="9"/>
  <c r="E33" i="9"/>
  <c r="D33" i="9"/>
  <c r="G31" i="9"/>
  <c r="F31" i="9"/>
  <c r="E31" i="9"/>
  <c r="D31" i="9"/>
  <c r="F29" i="9"/>
  <c r="E29" i="9"/>
  <c r="D29" i="9"/>
  <c r="F19" i="9"/>
  <c r="G19" i="9" s="1"/>
  <c r="I19" i="9"/>
  <c r="H19" i="9"/>
  <c r="M19" i="9"/>
  <c r="L19" i="9"/>
  <c r="K19" i="9"/>
  <c r="J19" i="9"/>
  <c r="E19" i="9"/>
  <c r="D19" i="9"/>
  <c r="F9" i="9" l="1"/>
  <c r="G9" i="9" s="1"/>
  <c r="E9" i="9"/>
  <c r="G7" i="9"/>
  <c r="F7" i="9"/>
  <c r="E7" i="9"/>
  <c r="D7" i="9"/>
  <c r="H5" i="9"/>
  <c r="G5" i="9"/>
  <c r="F5" i="9"/>
  <c r="D5" i="9"/>
  <c r="I3" i="9" l="1"/>
  <c r="H3" i="9"/>
  <c r="G3" i="9"/>
  <c r="E3" i="9"/>
  <c r="F3" i="9" s="1"/>
  <c r="D3" i="9"/>
  <c r="C2" i="4" l="1"/>
  <c r="F3" i="4" s="1"/>
  <c r="E3" i="4" l="1"/>
  <c r="H3" i="4"/>
  <c r="D3" i="4"/>
  <c r="J3" i="4"/>
  <c r="I3" i="4"/>
  <c r="G3" i="4"/>
  <c r="C3" i="4"/>
  <c r="D2" i="4"/>
  <c r="E2" i="4"/>
  <c r="E8" i="4" s="1"/>
  <c r="D4" i="4" l="1"/>
  <c r="D5" i="4"/>
  <c r="D8" i="4"/>
  <c r="F2" i="4"/>
  <c r="D7" i="4" l="1"/>
  <c r="D6" i="4"/>
  <c r="G2" i="4"/>
  <c r="F8" i="4"/>
  <c r="G4" i="4" l="1"/>
  <c r="G8" i="4"/>
  <c r="H2" i="4"/>
  <c r="G5" i="4"/>
  <c r="G9" i="4" l="1"/>
  <c r="G10" i="4"/>
  <c r="I2" i="4"/>
  <c r="I4" i="4" s="1"/>
  <c r="H8" i="4"/>
  <c r="H5" i="4"/>
  <c r="G6" i="4"/>
  <c r="G7" i="4"/>
  <c r="H4" i="4"/>
  <c r="H7" i="4" l="1"/>
  <c r="H9" i="4"/>
  <c r="I5" i="4"/>
  <c r="I6" i="4" s="1"/>
  <c r="J2" i="4"/>
  <c r="I8" i="4"/>
  <c r="H6" i="4"/>
  <c r="I7" i="4" l="1"/>
  <c r="J8" i="4"/>
  <c r="J5" i="4"/>
  <c r="J4" i="4"/>
  <c r="J7" i="4" l="1"/>
  <c r="J6" i="4"/>
  <c r="E5" i="4" l="1"/>
  <c r="E6" i="4" l="1"/>
  <c r="E7" i="4"/>
  <c r="E4" i="4"/>
  <c r="F5" i="4" l="1"/>
  <c r="F4" i="4"/>
  <c r="F7" i="4" l="1"/>
  <c r="F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Klein</author>
  </authors>
  <commentList>
    <comment ref="B1" authorId="0" shapeId="0" xr:uid="{C1BF6CEC-93DD-44CB-9E9D-813CC481203E}">
      <text>
        <r>
          <rPr>
            <sz val="9"/>
            <color indexed="81"/>
            <rFont val="Tahoma"/>
            <family val="2"/>
          </rPr>
          <t xml:space="preserve">Filter to your device message type here.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Klein</author>
  </authors>
  <commentList>
    <comment ref="C1" authorId="0" shapeId="0" xr:uid="{FB1010B3-1E57-426A-91EB-30B3B7E78CCC}">
      <text>
        <r>
          <rPr>
            <sz val="9"/>
            <color indexed="81"/>
            <rFont val="Tahoma"/>
            <family val="2"/>
          </rPr>
          <t xml:space="preserve">Filter to your device message type here.
</t>
        </r>
        <r>
          <rPr>
            <b/>
            <sz val="9"/>
            <color indexed="81"/>
            <rFont val="Tahoma"/>
            <family val="2"/>
          </rPr>
          <t>Do not sort table!</t>
        </r>
      </text>
    </comment>
    <comment ref="F3" authorId="0" shapeId="0" xr:uid="{FD980957-9267-4CB4-AFCF-B2B6FCFD3DF2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G3" authorId="0" shapeId="0" xr:uid="{A385C9C0-1904-48A7-8CE2-22776152C91A}">
      <text>
        <r>
          <rPr>
            <sz val="9"/>
            <color indexed="81"/>
            <rFont val="Tahoma"/>
            <family val="2"/>
          </rPr>
          <t>Value between 0 &amp; 2.55</t>
        </r>
      </text>
    </comment>
    <comment ref="H3" authorId="0" shapeId="0" xr:uid="{6DFAAAA9-BE27-4679-99C8-CAAFB02EE1F0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Milivolt resolution
0.01 thru 655.35</t>
        </r>
      </text>
    </comment>
    <comment ref="I3" authorId="0" shapeId="0" xr:uid="{07A18E76-2948-4E8E-9582-79D0A544FAA4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Milivolt resolution
0.01 thru 655.35</t>
        </r>
      </text>
    </comment>
    <comment ref="D5" authorId="0" shapeId="0" xr:uid="{02CA6114-1D72-438C-81D9-3691A8EB2034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E5" authorId="0" shapeId="0" xr:uid="{76EFD64B-D68B-4E8C-816D-4D0FDAE4DE85}">
      <text>
        <r>
          <rPr>
            <sz val="9"/>
            <color indexed="81"/>
            <rFont val="Tahoma"/>
            <family val="2"/>
          </rPr>
          <t>Value between 0 &amp; 63.75</t>
        </r>
      </text>
    </comment>
    <comment ref="D7" authorId="0" shapeId="0" xr:uid="{EE7D1A48-A276-4993-B5CD-AB12469C6CF6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E7" authorId="0" shapeId="0" xr:uid="{1A929BA6-1125-405A-8514-9EE3D434B5D7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F7" authorId="0" shapeId="0" xr:uid="{4607788B-F0D2-49B8-9C21-040D8F8EE774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G7" authorId="0" shapeId="0" xr:uid="{F72482EA-9233-4D59-8CEB-41E96F003C28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D9" authorId="0" shapeId="0" xr:uid="{34FB1653-71BB-445B-ABF3-44F3369FC4E7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E9" authorId="0" shapeId="0" xr:uid="{EC1A4309-F85C-45DB-8157-D59BD543E874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G9" authorId="0" shapeId="0" xr:uid="{C9FB9CBD-5AC8-4967-B450-F5084338EA4C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G11" authorId="0" shapeId="0" xr:uid="{C798C0A5-6D69-429E-A00E-BE6494313C5A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H11" authorId="0" shapeId="0" xr:uid="{70615560-6848-4461-95B7-9AA447615173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-128 to 127</t>
        </r>
      </text>
    </comment>
    <comment ref="I11" authorId="0" shapeId="0" xr:uid="{9F437EA9-8A01-4E61-A37A-84112E53F784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-128 to 127</t>
        </r>
      </text>
    </comment>
    <comment ref="J11" authorId="0" shapeId="0" xr:uid="{C5735D26-3A7A-44E5-A0AB-4DC3D15F131C}">
      <text>
        <r>
          <rPr>
            <sz val="9"/>
            <color indexed="81"/>
            <rFont val="Tahoma"/>
            <family val="2"/>
          </rPr>
          <t>Value between 0 &amp; 15</t>
        </r>
      </text>
    </comment>
    <comment ref="K11" authorId="0" shapeId="0" xr:uid="{B89EFE70-6F14-4B5B-BCAC-72FC1604A7F4}">
      <text>
        <r>
          <rPr>
            <sz val="9"/>
            <color indexed="81"/>
            <rFont val="Tahoma"/>
            <family val="2"/>
          </rPr>
          <t>Value between 0 &amp; 15</t>
        </r>
      </text>
    </comment>
    <comment ref="L11" authorId="0" shapeId="0" xr:uid="{932CDC14-E750-444F-B787-C6995ADC8993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0 to 100</t>
        </r>
      </text>
    </comment>
    <comment ref="M11" authorId="0" shapeId="0" xr:uid="{098D8526-F851-47A9-BACA-E54CDEE5CDC4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0 to 100</t>
        </r>
      </text>
    </comment>
    <comment ref="E13" authorId="0" shapeId="0" xr:uid="{F24D2998-DB1A-46DC-9AE4-E45FCFB9A7C0}">
      <text>
        <r>
          <rPr>
            <sz val="9"/>
            <color indexed="81"/>
            <rFont val="Tahoma"/>
            <family val="2"/>
          </rPr>
          <t>Value between 0 &amp; 16,383.75</t>
        </r>
      </text>
    </comment>
    <comment ref="F13" authorId="0" shapeId="0" xr:uid="{871E6BD2-9C6A-454F-97B3-4A463DBCA81D}">
      <text>
        <r>
          <rPr>
            <sz val="9"/>
            <color indexed="81"/>
            <rFont val="Tahoma"/>
            <family val="2"/>
          </rPr>
          <t>Value between 0 &amp; 16,383.75</t>
        </r>
      </text>
    </comment>
    <comment ref="F15" authorId="0" shapeId="0" xr:uid="{AFD44D5E-8629-47E1-B8D1-E6AC03D6A194}">
      <text>
        <r>
          <rPr>
            <sz val="9"/>
            <color indexed="81"/>
            <rFont val="Tahoma"/>
            <family val="2"/>
          </rPr>
          <t>Value between 0 &amp; 16,383.75</t>
        </r>
      </text>
    </comment>
    <comment ref="G15" authorId="0" shapeId="0" xr:uid="{80041D14-1C9F-4429-9CD4-B6173B083AC6}">
      <text>
        <r>
          <rPr>
            <sz val="9"/>
            <color indexed="81"/>
            <rFont val="Tahoma"/>
            <family val="2"/>
          </rPr>
          <t>Value between 0 &amp; 16,383.75</t>
        </r>
      </text>
    </comment>
    <comment ref="G17" authorId="0" shapeId="0" xr:uid="{A1AE01B0-E6C0-468F-8B0C-91E9B0531625}">
      <text>
        <r>
          <rPr>
            <sz val="9"/>
            <color indexed="81"/>
            <rFont val="Tahoma"/>
            <family val="2"/>
          </rPr>
          <t xml:space="preserve"> Value from 0-7</t>
        </r>
      </text>
    </comment>
    <comment ref="I17" authorId="0" shapeId="0" xr:uid="{C6713598-762F-4689-AF2D-E449E8D185CC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K17" authorId="0" shapeId="0" xr:uid="{0A726FE7-E2B8-4F38-9BF1-34232D072252}">
      <text>
        <r>
          <rPr>
            <sz val="9"/>
            <color indexed="81"/>
            <rFont val="Tahoma"/>
            <family val="2"/>
          </rPr>
          <t>mS from 250-150000
Sec/Min/Hours from 1-63</t>
        </r>
      </text>
    </comment>
    <comment ref="D19" authorId="0" shapeId="0" xr:uid="{CD95301B-380E-4A73-AA28-A5B272D8EA43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G21" authorId="0" shapeId="0" xr:uid="{9D451F88-9526-4348-BAC3-24A18D51174A}">
      <text>
        <r>
          <rPr>
            <sz val="9"/>
            <color indexed="81"/>
            <rFont val="Tahoma"/>
            <family val="2"/>
          </rPr>
          <t>Value between 0 &amp; 63.75</t>
        </r>
      </text>
    </comment>
    <comment ref="G23" authorId="0" shapeId="0" xr:uid="{8278D8EA-253B-4E74-B8B7-D7F14941259F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H23" authorId="0" shapeId="0" xr:uid="{DF894B22-3E46-4000-8D76-C95EB1E83BFA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G25" authorId="0" shapeId="0" xr:uid="{B6AF4AA3-AF29-4324-8BA1-2F69E06A18CD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H25" authorId="0" shapeId="0" xr:uid="{3A252952-4931-40B5-AF92-D20DD1C86738}">
      <text>
        <r>
          <rPr>
            <sz val="9"/>
            <color indexed="81"/>
            <rFont val="Tahoma"/>
            <family val="2"/>
          </rPr>
          <t>Value between 0 &amp; 15</t>
        </r>
      </text>
    </comment>
    <comment ref="I25" authorId="0" shapeId="0" xr:uid="{D4346CAF-C584-494A-A6E4-B67173373CBD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-128 to 127</t>
        </r>
      </text>
    </comment>
    <comment ref="J25" authorId="0" shapeId="0" xr:uid="{85DD38D4-5B17-4B9C-B15E-BDB82A550B9D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-128 to 127</t>
        </r>
      </text>
    </comment>
    <comment ref="G27" authorId="0" shapeId="0" xr:uid="{3267EDBC-586A-41EB-92AF-A2BA34848A60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H27" authorId="0" shapeId="0" xr:uid="{B771C2BE-9258-473E-97E4-F67173E2B33E}">
      <text>
        <r>
          <rPr>
            <sz val="9"/>
            <color indexed="81"/>
            <rFont val="Tahoma"/>
            <family val="2"/>
          </rPr>
          <t>Value between 0 &amp; 15</t>
        </r>
      </text>
    </comment>
    <comment ref="I27" authorId="0" shapeId="0" xr:uid="{5612D2D1-EAFE-4C95-A6BB-499E453374C6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-128 to 127</t>
        </r>
      </text>
    </comment>
    <comment ref="J27" authorId="0" shapeId="0" xr:uid="{5F279A42-7436-4373-B568-27EEFD7058E4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-128 to 127</t>
        </r>
      </text>
    </comment>
    <comment ref="H29" authorId="0" shapeId="0" xr:uid="{F060389E-B42C-4A49-9771-FF1192780EFA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I29" authorId="0" shapeId="0" xr:uid="{295F1894-14EF-435D-B57E-BE6A6FAD068A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J29" authorId="0" shapeId="0" xr:uid="{8F8F7461-BA4E-44C2-A393-BE0125AABFEE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-128 to 127</t>
        </r>
      </text>
    </comment>
    <comment ref="K29" authorId="0" shapeId="0" xr:uid="{11418EA2-CCE1-4E07-B36A-07393F2AC469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-128 to 127</t>
        </r>
      </text>
    </comment>
    <comment ref="H31" authorId="0" shapeId="0" xr:uid="{B8FFBDA3-6313-45A2-B649-E75FE8938966}">
      <text>
        <r>
          <rPr>
            <sz val="9"/>
            <color indexed="81"/>
            <rFont val="Tahoma"/>
            <family val="2"/>
          </rPr>
          <t>Value between 0-90</t>
        </r>
      </text>
    </comment>
    <comment ref="I31" authorId="0" shapeId="0" xr:uid="{64816440-E7BF-4775-A5C4-3CB2DBA3CD23}">
      <text>
        <r>
          <rPr>
            <sz val="9"/>
            <color indexed="81"/>
            <rFont val="Tahoma"/>
            <family val="2"/>
          </rPr>
          <t>Value between 0-90</t>
        </r>
      </text>
    </comment>
    <comment ref="J31" authorId="0" shapeId="0" xr:uid="{32309725-C4CD-4432-B167-6A9482D0684E}">
      <text>
        <r>
          <rPr>
            <sz val="9"/>
            <color indexed="81"/>
            <rFont val="Tahoma"/>
            <family val="2"/>
          </rPr>
          <t>Value between 0 &amp; 63.75</t>
        </r>
      </text>
    </comment>
    <comment ref="K31" authorId="0" shapeId="0" xr:uid="{9EB6ABE2-34D3-4546-9E76-5EBE6F9EE541}">
      <text>
        <r>
          <rPr>
            <sz val="9"/>
            <color indexed="81"/>
            <rFont val="Tahoma"/>
            <family val="2"/>
          </rPr>
          <t>Value between 0 &amp; 63.75</t>
        </r>
      </text>
    </comment>
    <comment ref="L31" authorId="0" shapeId="0" xr:uid="{C5FE9170-874F-4AAA-B2E4-D6650D792754}">
      <text>
        <r>
          <rPr>
            <sz val="9"/>
            <color indexed="81"/>
            <rFont val="Tahoma"/>
            <family val="2"/>
          </rPr>
          <t>Value between 0-90</t>
        </r>
      </text>
    </comment>
    <comment ref="M31" authorId="0" shapeId="0" xr:uid="{AD60B78B-BF4D-4E1B-A69E-368AB683EE8B}">
      <text>
        <r>
          <rPr>
            <sz val="9"/>
            <color indexed="81"/>
            <rFont val="Tahoma"/>
            <family val="2"/>
          </rPr>
          <t>Value between 0-90</t>
        </r>
      </text>
    </comment>
    <comment ref="G33" authorId="0" shapeId="0" xr:uid="{7BB0EE2E-F6E2-418D-8D96-86EB3E51F3AC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H33" authorId="0" shapeId="0" xr:uid="{3230415D-0F88-4EC1-865E-3242C2F2AC0B}">
      <text>
        <r>
          <rPr>
            <sz val="9"/>
            <color indexed="81"/>
            <rFont val="Tahoma"/>
            <family val="2"/>
          </rPr>
          <t>Value between 0 &amp; 2.55</t>
        </r>
      </text>
    </comment>
    <comment ref="I33" authorId="0" shapeId="0" xr:uid="{A2B9EEE2-85A6-4578-B40E-B43484D72608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Milivolt resolution
0.01 thru 655.35</t>
        </r>
      </text>
    </comment>
    <comment ref="J33" authorId="0" shapeId="0" xr:uid="{FABA82EF-2DA1-4206-9E03-C4A7B2F8652C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Milivolt resolution
0.01 thru 655.35</t>
        </r>
      </text>
    </comment>
    <comment ref="E35" authorId="0" shapeId="0" xr:uid="{A160FCBF-8BEE-4D2E-AFC3-E261C104B15A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F35" authorId="0" shapeId="0" xr:uid="{1F18C719-2301-4F02-9936-D6CF0839316A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H37" authorId="0" shapeId="0" xr:uid="{20F1D12B-A20A-4963-AD53-C5EA35FA4012}">
      <text>
        <r>
          <rPr>
            <sz val="9"/>
            <color indexed="81"/>
            <rFont val="Tahoma"/>
            <family val="2"/>
          </rPr>
          <t>Value between 0 &amp; 127</t>
        </r>
      </text>
    </comment>
    <comment ref="J37" authorId="0" shapeId="0" xr:uid="{DBBF5C57-B752-4CCA-B5BA-B9FAD56C1D43}">
      <text>
        <r>
          <rPr>
            <sz val="9"/>
            <color indexed="81"/>
            <rFont val="Tahoma"/>
            <family val="2"/>
          </rPr>
          <t>Value between 0 &amp; 127</t>
        </r>
      </text>
    </comment>
    <comment ref="L37" authorId="0" shapeId="0" xr:uid="{F3874394-1547-4739-99B0-55361E116215}">
      <text>
        <r>
          <rPr>
            <sz val="9"/>
            <color indexed="81"/>
            <rFont val="Tahoma"/>
            <family val="2"/>
          </rPr>
          <t>Value between 0 &amp; 127</t>
        </r>
      </text>
    </comment>
    <comment ref="D39" authorId="0" shapeId="0" xr:uid="{B44A390F-7EFB-48A9-9634-8305494BD0B8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F39" authorId="0" shapeId="0" xr:uid="{C80167EF-AC68-47DD-AB3C-7D953DF6F991}">
      <text>
        <r>
          <rPr>
            <sz val="9"/>
            <color indexed="81"/>
            <rFont val="Tahoma"/>
            <family val="2"/>
          </rPr>
          <t>Value between 0 &amp; 127</t>
        </r>
      </text>
    </comment>
    <comment ref="G39" authorId="0" shapeId="0" xr:uid="{F2F3EC35-5BC5-4B9E-9335-085268A7A4A2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H39" authorId="0" shapeId="0" xr:uid="{95DDEB2F-2DCA-424A-ADFC-3FDEFF6E3AB8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I39" authorId="0" shapeId="0" xr:uid="{32A2D30A-D321-48AD-9034-FF6D92FC83EA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J39" authorId="0" shapeId="0" xr:uid="{FE3CD675-9F87-4F79-A9F4-CE609A37EA91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K39" authorId="0" shapeId="0" xr:uid="{A4BC48F0-EE6E-4049-BE7D-AD7879ED2959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E41" authorId="0" shapeId="0" xr:uid="{32B6A91C-022C-4DB3-8DCF-D2C3F1D42B52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F41" authorId="0" shapeId="0" xr:uid="{A11F6F6F-3065-4A57-9D8F-46C50DD4F17B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G41" authorId="0" shapeId="0" xr:uid="{58D10D4A-A9C2-48E2-8B3D-D649A911F81C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H41" authorId="0" shapeId="0" xr:uid="{BD3C1A80-61D2-4979-9FE8-F91C53061D86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E43" authorId="0" shapeId="0" xr:uid="{F3127F72-16AB-4266-8375-1F2FE0F8D347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F43" authorId="0" shapeId="0" xr:uid="{4B05677B-4CAA-4731-A0FA-324262223636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G43" authorId="0" shapeId="0" xr:uid="{D7F634E6-778E-459B-AD50-0E71C4BA6A5C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H43" authorId="0" shapeId="0" xr:uid="{3EE0D3E3-A0C1-461B-A910-9C0678175D03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I43" authorId="0" shapeId="0" xr:uid="{444EBC08-8DB2-4A2D-8FA6-413418EF46F2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J43" authorId="0" shapeId="0" xr:uid="{4A0FCAA3-02CB-4C28-8608-B50435D9B9BA}">
      <text>
        <r>
          <rPr>
            <sz val="9"/>
            <color indexed="81"/>
            <rFont val="Tahoma"/>
            <family val="2"/>
          </rPr>
          <t>Value between 0 &amp; 255</t>
        </r>
      </text>
    </comment>
    <comment ref="E45" authorId="0" shapeId="0" xr:uid="{53991BE6-6F82-4B54-BD8C-9CE6F60CD263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45" authorId="0" shapeId="0" xr:uid="{7D2E186D-25E0-40BA-9641-1309758D082F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47" authorId="0" shapeId="0" xr:uid="{44E64EB7-67BE-4945-93DE-744521881830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47" authorId="0" shapeId="0" xr:uid="{8C21C2F2-993A-43BC-A466-A5D60844BBDD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G47" authorId="0" shapeId="0" xr:uid="{81D5E465-4149-4888-92EF-7FA59E224E89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51" authorId="0" shapeId="0" xr:uid="{C4B9E145-B929-4259-9648-0E73DA9C5135}">
      <text>
        <r>
          <rPr>
            <sz val="9"/>
            <color indexed="81"/>
            <rFont val="Tahoma"/>
            <family val="2"/>
          </rPr>
          <t>Value between 1-8</t>
        </r>
      </text>
    </comment>
    <comment ref="I51" authorId="0" shapeId="0" xr:uid="{78836FEF-7A9D-4AD5-A341-EDEAF226A5A8}">
      <text>
        <r>
          <rPr>
            <sz val="9"/>
            <color indexed="81"/>
            <rFont val="Tahoma"/>
            <family val="2"/>
          </rPr>
          <t>Value between 0 &amp; 127</t>
        </r>
      </text>
    </comment>
    <comment ref="K51" authorId="0" shapeId="0" xr:uid="{4E533DCF-3001-4CC4-A1A7-0A4DE1E96BBE}">
      <text>
        <r>
          <rPr>
            <sz val="9"/>
            <color indexed="81"/>
            <rFont val="Tahoma"/>
            <family val="2"/>
          </rPr>
          <t>Value between 0 &amp; 127</t>
        </r>
      </text>
    </comment>
    <comment ref="E53" authorId="0" shapeId="0" xr:uid="{5CE767D7-DD6C-447E-9D01-1F6AF6F0B194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53" authorId="0" shapeId="0" xr:uid="{67AC68D5-760B-4449-B8B5-87B0F1ED985D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55" authorId="0" shapeId="0" xr:uid="{6201B18C-2C75-431E-B4B6-1ED07EA039F7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55" authorId="0" shapeId="0" xr:uid="{EE30FDA3-5328-442C-811C-F941C2785D87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G55" authorId="0" shapeId="0" xr:uid="{6C4745DB-BD91-4658-9D89-86947A6A739D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57" authorId="0" shapeId="0" xr:uid="{9811C17B-1C36-4467-9482-D42EFD10B161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57" authorId="0" shapeId="0" xr:uid="{8F685E74-6D5E-4C17-AF3E-6623097E907A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G57" authorId="0" shapeId="0" xr:uid="{E2C4BA7D-C24B-476A-8E32-4DA6AF3E222D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59" authorId="0" shapeId="0" xr:uid="{2CD40167-D051-4350-937C-17EC1EB16F93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59" authorId="0" shapeId="0" xr:uid="{8634672F-3A58-4F4E-9D89-582190A8593B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61" authorId="0" shapeId="0" xr:uid="{D9FDBDFF-5ABB-41CE-8312-8B3D8D04E285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61" authorId="0" shapeId="0" xr:uid="{2289D4EA-1887-46BA-A661-4C9F53A6BB09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G61" authorId="0" shapeId="0" xr:uid="{FC9FF04F-96C9-4E78-A256-790DDB1DF8A4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63" authorId="0" shapeId="0" xr:uid="{51ED8388-C5E7-417A-852D-559A146E7BB6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63" authorId="0" shapeId="0" xr:uid="{BE87BE01-A49A-4E8C-B2FD-7F770D0518C1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65" authorId="0" shapeId="0" xr:uid="{430A24B2-0392-4B7F-9D6D-598D8FC51C4B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65" authorId="0" shapeId="0" xr:uid="{CC53E17B-F178-4BF6-AA85-94B46C45AC55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G65" authorId="0" shapeId="0" xr:uid="{E82BE817-1B17-424F-9C3A-FDFBC45C08DE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67" authorId="0" shapeId="0" xr:uid="{D2FF1DA8-A327-46F4-B489-838FBA7ADB71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67" authorId="0" shapeId="0" xr:uid="{9DF91261-0F6C-472A-8B9C-56DB20DF319E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69" authorId="0" shapeId="0" xr:uid="{8A8C0170-354A-4515-A504-715C040B9A65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69" authorId="0" shapeId="0" xr:uid="{6C459CEF-319E-4BE1-B049-7A75AA2B3FE1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G69" authorId="0" shapeId="0" xr:uid="{0A81909D-480F-435C-88BC-6F2EB75FA229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71" authorId="0" shapeId="0" xr:uid="{3D88EADF-2EF1-43DB-86AA-D4233CEE7D9D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71" authorId="0" shapeId="0" xr:uid="{3FF794DB-9D7C-48F7-BC5F-4B4977BC5F34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73" authorId="0" shapeId="0" xr:uid="{DA47EABB-57BA-42BD-AB73-8985AB31D6C4}">
      <text>
        <r>
          <rPr>
            <sz val="9"/>
            <color indexed="81"/>
            <rFont val="Tahoma"/>
            <family val="2"/>
          </rPr>
          <t>Value between 1 &amp; 127</t>
        </r>
      </text>
    </comment>
    <comment ref="G73" authorId="0" shapeId="0" xr:uid="{4A72E901-D792-4289-AB92-D8549B12E82A}">
      <text>
        <r>
          <rPr>
            <sz val="9"/>
            <color indexed="81"/>
            <rFont val="Tahoma"/>
            <family val="2"/>
          </rPr>
          <t>Value between 0 &amp; 63.75</t>
        </r>
      </text>
    </comment>
    <comment ref="E75" authorId="0" shapeId="0" xr:uid="{64BEA395-1323-4A28-99C7-3897704841F2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75" authorId="0" shapeId="0" xr:uid="{9DC822EB-733D-4A61-B4AA-D1B2FE9DBA8C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G75" authorId="0" shapeId="0" xr:uid="{A2E64DE6-6DB9-4FF1-9A7D-E484775CBF0F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77" authorId="0" shapeId="0" xr:uid="{4CA52DDE-B635-4B73-ADA3-A177A4DFA1B6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F77" authorId="0" shapeId="0" xr:uid="{1CB3F34D-38DC-4848-BE97-69DA7BCE58DD}">
      <text>
        <r>
          <rPr>
            <sz val="9"/>
            <color indexed="81"/>
            <rFont val="Tahoma"/>
            <family val="2"/>
          </rPr>
          <t>Value between 0 &amp; 65535</t>
        </r>
      </text>
    </comment>
    <comment ref="E79" authorId="0" shapeId="0" xr:uid="{C0FC52F2-6A9E-488F-819B-1EBD9060C184}">
      <text>
        <r>
          <rPr>
            <sz val="9"/>
            <color indexed="81"/>
            <rFont val="Tahoma"/>
            <family val="2"/>
          </rPr>
          <t>Value between 0 &amp; 127</t>
        </r>
      </text>
    </comment>
    <comment ref="F79" authorId="0" shapeId="0" xr:uid="{4D9BEC39-2E79-4834-AE8A-5BD4FAF7A967}">
      <text>
        <r>
          <rPr>
            <sz val="9"/>
            <color indexed="81"/>
            <rFont val="Tahoma"/>
            <family val="2"/>
          </rPr>
          <t>Value between 0 &amp; 75</t>
        </r>
      </text>
    </comment>
    <comment ref="G79" authorId="0" shapeId="0" xr:uid="{9BDCA945-99CC-47D3-9FD9-2106D73AF1E9}">
      <text>
        <r>
          <rPr>
            <sz val="9"/>
            <color indexed="81"/>
            <rFont val="Tahoma"/>
            <family val="2"/>
          </rPr>
          <t>Value between 0 &amp; 15</t>
        </r>
      </text>
    </comment>
    <comment ref="H79" authorId="0" shapeId="0" xr:uid="{D82749E1-851C-44AC-8A74-D25AB596DEEE}">
      <text>
        <r>
          <rPr>
            <sz val="9"/>
            <color indexed="81"/>
            <rFont val="Tahoma"/>
            <family val="2"/>
          </rPr>
          <t>Value between 0 &amp; 4095</t>
        </r>
      </text>
    </comment>
    <comment ref="I79" authorId="0" shapeId="0" xr:uid="{2EF19F04-6217-4817-963F-0B7C392DC355}">
      <text>
        <r>
          <rPr>
            <sz val="9"/>
            <color indexed="81"/>
            <rFont val="Tahoma"/>
            <family val="2"/>
          </rPr>
          <t>Value between 0 &amp; 4095</t>
        </r>
      </text>
    </comment>
    <comment ref="K79" authorId="0" shapeId="0" xr:uid="{B3BFACF1-1E4B-41F8-BFED-E221E2758C7F}">
      <text>
        <r>
          <rPr>
            <sz val="9"/>
            <color indexed="81"/>
            <rFont val="Tahoma"/>
            <family val="2"/>
          </rPr>
          <t>Value between 0 &amp; 127</t>
        </r>
      </text>
    </comment>
    <comment ref="L79" authorId="0" shapeId="0" xr:uid="{622046E1-B42B-45C3-88A5-FDE5C4815100}">
      <text>
        <r>
          <rPr>
            <sz val="9"/>
            <color indexed="81"/>
            <rFont val="Tahoma"/>
            <family val="2"/>
          </rPr>
          <t>Value between 0 &amp; 2550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Klein</author>
  </authors>
  <commentList>
    <comment ref="B1" authorId="0" shapeId="0" xr:uid="{AFDD61E0-08B0-446B-B516-9BAF2B6C167D}">
      <text>
        <r>
          <rPr>
            <sz val="9"/>
            <color indexed="81"/>
            <rFont val="Tahoma"/>
            <family val="2"/>
          </rPr>
          <t xml:space="preserve">Filter to your device message type here.
</t>
        </r>
        <r>
          <rPr>
            <b/>
            <sz val="9"/>
            <color indexed="81"/>
            <rFont val="Tahoma"/>
            <family val="2"/>
          </rPr>
          <t>Do not sort!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<sst xmlns="http://schemas.openxmlformats.org/spreadsheetml/2006/main" count="2277" uniqueCount="1175">
  <si>
    <t>Order</t>
  </si>
  <si>
    <t>Device Type</t>
  </si>
  <si>
    <t>Paste Downlink below</t>
  </si>
  <si>
    <t>ABM</t>
  </si>
  <si>
    <t>Starts with "1x0E"</t>
  </si>
  <si>
    <t>Protocol</t>
  </si>
  <si>
    <t>Packet#</t>
  </si>
  <si>
    <t>Message type</t>
  </si>
  <si>
    <t>Event type</t>
  </si>
  <si>
    <t>1a0e01</t>
  </si>
  <si>
    <t>ATH</t>
  </si>
  <si>
    <t>Starts with "1x0D"</t>
  </si>
  <si>
    <t>Temp dec C</t>
  </si>
  <si>
    <t>Humidity %</t>
  </si>
  <si>
    <t>1b0d080b304c90</t>
  </si>
  <si>
    <t>Contact</t>
  </si>
  <si>
    <t>Starts with "1x07"</t>
  </si>
  <si>
    <t>Contact State</t>
  </si>
  <si>
    <t>150701</t>
  </si>
  <si>
    <t>Device Info Message</t>
  </si>
  <si>
    <t>Starts with "1xFA"</t>
  </si>
  <si>
    <t>Message</t>
  </si>
  <si>
    <t>15fa550800781400000000</t>
  </si>
  <si>
    <t>Door Window</t>
  </si>
  <si>
    <t>Starts with "1x03"</t>
  </si>
  <si>
    <t>Magnet state</t>
  </si>
  <si>
    <t>150301</t>
  </si>
  <si>
    <t>Downlink Ack</t>
  </si>
  <si>
    <t>Starts with "1xFF"</t>
  </si>
  <si>
    <t>ACK &amp; Result</t>
  </si>
  <si>
    <t>Reply</t>
  </si>
  <si>
    <t>15ff03fc00011100000000</t>
  </si>
  <si>
    <t>IAQ Periodic</t>
  </si>
  <si>
    <t>Starts with "1x34"</t>
  </si>
  <si>
    <t xml:space="preserve">Temperature (C) </t>
  </si>
  <si>
    <t xml:space="preserve">Humidity (%) </t>
  </si>
  <si>
    <t>CO2 (PPM)</t>
  </si>
  <si>
    <t>PM 1.0 (PPM)</t>
  </si>
  <si>
    <t>PM 2.5 (PPM)</t>
  </si>
  <si>
    <t>1234000A05000a000b000c</t>
  </si>
  <si>
    <t>IAQ Periodic Extended</t>
  </si>
  <si>
    <t>Starts with "1x35"</t>
  </si>
  <si>
    <t>PM 4.0 (PPM)</t>
  </si>
  <si>
    <t>PM 10.0 (PPM)</t>
  </si>
  <si>
    <t>VOC (PPM)</t>
  </si>
  <si>
    <t>NoX (PPM)</t>
  </si>
  <si>
    <t>15350001000200030004</t>
  </si>
  <si>
    <t>IAQ Sensor</t>
  </si>
  <si>
    <t>Starts with "1x33"</t>
  </si>
  <si>
    <t>Sensor value</t>
  </si>
  <si>
    <t>10331050101</t>
  </si>
  <si>
    <t>Link Quality</t>
  </si>
  <si>
    <t>Starts with "1xFB"</t>
  </si>
  <si>
    <t>Current Subband</t>
  </si>
  <si>
    <t>RSSI of last downlink</t>
  </si>
  <si>
    <t>SNR of last downlink</t>
  </si>
  <si>
    <t>17fb008af9</t>
  </si>
  <si>
    <t>Pulse Counter</t>
  </si>
  <si>
    <t>Starts with "1x04"</t>
  </si>
  <si>
    <t>Fractional Rate</t>
  </si>
  <si>
    <t>Pulse rate integer</t>
  </si>
  <si>
    <t>Push Button</t>
  </si>
  <si>
    <t>Starts with "1x06"</t>
  </si>
  <si>
    <t>Button ID</t>
  </si>
  <si>
    <t>Button action</t>
  </si>
  <si>
    <t>600516520080030000F2302C39C3A67A563B</t>
  </si>
  <si>
    <t>Reset</t>
  </si>
  <si>
    <t>Starts with "1x00"</t>
  </si>
  <si>
    <t>Hardware version</t>
  </si>
  <si>
    <t>Software version</t>
  </si>
  <si>
    <t>Reset Code</t>
  </si>
  <si>
    <t>1d000A308C460001</t>
  </si>
  <si>
    <t>Sensor420mA</t>
  </si>
  <si>
    <t>Starts with "1x11"</t>
  </si>
  <si>
    <t>Current in 10mA units</t>
  </si>
  <si>
    <t>1b110001bd</t>
  </si>
  <si>
    <t>Supervisory</t>
  </si>
  <si>
    <t>Starts with "1x01"</t>
  </si>
  <si>
    <t>Tamper since last reset</t>
  </si>
  <si>
    <t>Tamper state</t>
  </si>
  <si>
    <t>Downlink Error</t>
  </si>
  <si>
    <t>Low batt</t>
  </si>
  <si>
    <t>Ratio error</t>
  </si>
  <si>
    <t>Current sensor state</t>
  </si>
  <si>
    <t>Battery level</t>
  </si>
  <si>
    <t>Current sensor state (Hex)</t>
  </si>
  <si>
    <t>Event accumulation count</t>
  </si>
  <si>
    <t>1e01111331000000000012</t>
  </si>
  <si>
    <t>Tamper</t>
  </si>
  <si>
    <t>Starts with "1x02"</t>
  </si>
  <si>
    <t>Chassis state</t>
  </si>
  <si>
    <t>190200</t>
  </si>
  <si>
    <t>Temp External</t>
  </si>
  <si>
    <t>Starts with "1x09"</t>
  </si>
  <si>
    <t>1BDB93A9CB</t>
  </si>
  <si>
    <t>Temp Internal</t>
  </si>
  <si>
    <t>Starts with "1x19"</t>
  </si>
  <si>
    <t>1c19008170</t>
  </si>
  <si>
    <t>Thermocouple</t>
  </si>
  <si>
    <t>Starts with "1x13"</t>
  </si>
  <si>
    <t>Temperature</t>
  </si>
  <si>
    <t>Cold-junction temperature is outside of the normal operating range</t>
  </si>
  <si>
    <t>Hot junction temperature is outside of the normal operating range</t>
  </si>
  <si>
    <t>Cold-junction temperature is at or above than the cold-junction temperature high threshold</t>
  </si>
  <si>
    <t>Cold-junction temperature is lower than the cold-junction temperature low threshold</t>
  </si>
  <si>
    <t>Thermocouple temperature is too high</t>
  </si>
  <si>
    <t>Thermocouple temperature is too low</t>
  </si>
  <si>
    <t>Input voltage is negative or greater than VDD</t>
  </si>
  <si>
    <t>Open circuit such as broken thermocouple wires has been detected</t>
  </si>
  <si>
    <t>101302F06087</t>
  </si>
  <si>
    <t>Tilt</t>
  </si>
  <si>
    <t>Starts with "1x0A"</t>
  </si>
  <si>
    <t>Angle in Degrees from Vertical</t>
  </si>
  <si>
    <t>170a0355</t>
  </si>
  <si>
    <t>Ultrasonic</t>
  </si>
  <si>
    <t>Starts with "1x10"</t>
  </si>
  <si>
    <t>Distance in mm</t>
  </si>
  <si>
    <t>1010000076</t>
  </si>
  <si>
    <t>Voltmeter</t>
  </si>
  <si>
    <t>Starts with "1x14"</t>
  </si>
  <si>
    <t>1214020006</t>
  </si>
  <si>
    <t>Water</t>
  </si>
  <si>
    <t>Starts with "1x08"</t>
  </si>
  <si>
    <t>Water State</t>
  </si>
  <si>
    <t>Water value</t>
  </si>
  <si>
    <t xml:space="preserve">19080100 </t>
  </si>
  <si>
    <t>Value</t>
  </si>
  <si>
    <t>Type</t>
  </si>
  <si>
    <t>Info1</t>
  </si>
  <si>
    <t>Bits1</t>
  </si>
  <si>
    <t>Info2</t>
  </si>
  <si>
    <t>Bits2</t>
  </si>
  <si>
    <t>Info3</t>
  </si>
  <si>
    <t>Bits3</t>
  </si>
  <si>
    <t>Info4</t>
  </si>
  <si>
    <t>Bits4</t>
  </si>
  <si>
    <t>Info5</t>
  </si>
  <si>
    <t>Bits5</t>
  </si>
  <si>
    <t>Info6</t>
  </si>
  <si>
    <t>Bits6</t>
  </si>
  <si>
    <t>Info7</t>
  </si>
  <si>
    <t>Bits7</t>
  </si>
  <si>
    <t>00</t>
  </si>
  <si>
    <t>RESET</t>
  </si>
  <si>
    <t>Device type code</t>
  </si>
  <si>
    <t>Firmware version</t>
  </si>
  <si>
    <t>Reset code</t>
  </si>
  <si>
    <t>01</t>
  </si>
  <si>
    <t>SUPERVISORY</t>
  </si>
  <si>
    <t>Error codes (Bits 7-5 not used, 4 Tamper since last reset, 3 Tamper state, 2 Downlink error, 1 Low batt, 0 Radio error)</t>
  </si>
  <si>
    <t>Event Accumulation Count</t>
  </si>
  <si>
    <t>02</t>
  </si>
  <si>
    <t>TAMPER</t>
  </si>
  <si>
    <t>Chassis state (0 open, 1 closed)</t>
  </si>
  <si>
    <t>03</t>
  </si>
  <si>
    <t>DOOR_WINDOW</t>
  </si>
  <si>
    <t>Magnet state (0 present, 1 absent)</t>
  </si>
  <si>
    <t>06</t>
  </si>
  <si>
    <t>PUSH_BUTTON</t>
  </si>
  <si>
    <t>Button ID (0x03 = 1)</t>
  </si>
  <si>
    <t>Button Action (0x00 pressed, 0x01 released, 0x02 held)</t>
  </si>
  <si>
    <t>07</t>
  </si>
  <si>
    <t>CONTACT</t>
  </si>
  <si>
    <t>Contact (0x00 shorted, 0x01 open)</t>
  </si>
  <si>
    <t>08</t>
  </si>
  <si>
    <t>WATER</t>
  </si>
  <si>
    <t>Water (0x00 present, 0x01 not)</t>
  </si>
  <si>
    <t>Water value 0-255</t>
  </si>
  <si>
    <t>09</t>
  </si>
  <si>
    <t>TEMPERATURE</t>
  </si>
  <si>
    <t>Event type (00 periodic, 01 through upper, 02 through lower, 03 change increase, 04 change decrease)</t>
  </si>
  <si>
    <t>Temp deg C (2's compliment)</t>
  </si>
  <si>
    <t>0A</t>
  </si>
  <si>
    <t>TILT</t>
  </si>
  <si>
    <t>Event type (00 to vert, 01 to horiz, 02 toward vert, 03 toward horiz)</t>
  </si>
  <si>
    <t>Angle in deg from vert (0-180)</t>
  </si>
  <si>
    <t>0D</t>
  </si>
  <si>
    <t>Event type (00 periodic, 01 T &gt; upper, 02 T &lt; lower, 03 dT+, 04 dT-, 05 H &gt; Upper, 06 H&lt; lower, 07 dH+, 08 dH-)</t>
  </si>
  <si>
    <t>Temp integer deg C, first bit is sign 0=+</t>
  </si>
  <si>
    <t>Temp decimal, 0.0-0.9</t>
  </si>
  <si>
    <t>Humidity integer %</t>
  </si>
  <si>
    <t>Humidity decimal, 0.0-0.9</t>
  </si>
  <si>
    <t>0E</t>
  </si>
  <si>
    <t>Movement (00 Started, 01 Stopped)</t>
  </si>
  <si>
    <t>0F</t>
  </si>
  <si>
    <t>TILT_HP (OBS)</t>
  </si>
  <si>
    <t>Reporting type (00 Periodic, 01 To Vert, 02 to Horiz, 03 toward vert, 04 toward Horiz)</t>
  </si>
  <si>
    <t>Integer of Angle 0-180</t>
  </si>
  <si>
    <t>Tenths of Angle, 0-9</t>
  </si>
  <si>
    <t>Temp in C, 0x10 means +16° C and 0x90 means -16° C</t>
  </si>
  <si>
    <t>10</t>
  </si>
  <si>
    <t>ULTRASONIC</t>
  </si>
  <si>
    <t>Distance in mm 16b unsigned</t>
  </si>
  <si>
    <t>11</t>
  </si>
  <si>
    <t>SENSOR420MA</t>
  </si>
  <si>
    <t>Current in 10mA units. This is a 16-bit positive integer ranging from 400-2000. For example, if the value is 0x0385, the current is 9.01mA.</t>
  </si>
  <si>
    <t>13</t>
  </si>
  <si>
    <t>THERMOCOUPLE</t>
  </si>
  <si>
    <t>Current Temperature in degrees Celsius. Decoded by taking the 16-bit two’s complement number and multiplying by 1/16th. For example, if the value is 0x55C0 the temperature is 1372.00 degrees C. A value of 0xF060 would be -250.00 degrees.</t>
  </si>
  <si>
    <t>Fault codes:
Bit Position / Description
7 The cold-junction temperature is outside of the normal operating range.
6 The hot junction temperature is outside of the normal operating range.
5 The cold-junction temperature is at or above than the cold-junction temperature high threshold.
4 The cold-junction temperature is lower than the cold-junction temperature low threshold.
3 The thermocouple temperature is too high.
2 The thermocouple temperature is too low.
1 The input voltage is negative or greater than VDD.
0 An open circuit such as broken thermocouple wires has been detected</t>
  </si>
  <si>
    <t>14</t>
  </si>
  <si>
    <t>VOLTMETER</t>
  </si>
  <si>
    <t xml:space="preserve"> Voltage measurement in units of 10mV. This is a 16-bit positive integer ranging from 0-3000. For example, a value of 0x512 would be 12.98VDC.</t>
  </si>
  <si>
    <t>15</t>
  </si>
  <si>
    <t>CUSTOM_SENSOR</t>
  </si>
  <si>
    <t>16</t>
  </si>
  <si>
    <t>GPS (OBS)</t>
  </si>
  <si>
    <t>17</t>
  </si>
  <si>
    <t>HONEYWELL5800 (OBS)</t>
  </si>
  <si>
    <t>18</t>
  </si>
  <si>
    <t>MAGNETOMETER (OBS)</t>
  </si>
  <si>
    <t>19</t>
  </si>
  <si>
    <t>CMOS TEMPERATURE EVNET</t>
  </si>
  <si>
    <t>1A</t>
  </si>
  <si>
    <t>VIBRATION_HB (OBS)</t>
  </si>
  <si>
    <t>1C</t>
  </si>
  <si>
    <t>VIBRATION_CH1 (OBS)</t>
  </si>
  <si>
    <t>1D</t>
  </si>
  <si>
    <t>VIBRATION_CH2 (OBS)</t>
  </si>
  <si>
    <t>1E</t>
  </si>
  <si>
    <t>VIBRATION_CH3 (OBS)</t>
  </si>
  <si>
    <t>1F</t>
  </si>
  <si>
    <t>VIBRATION_CH4 (OBS)</t>
  </si>
  <si>
    <t>20</t>
  </si>
  <si>
    <t>VIBRATION_FFT (OBS)</t>
  </si>
  <si>
    <t>33</t>
  </si>
  <si>
    <t>Air Quality Sensor</t>
  </si>
  <si>
    <t>0: Temp &gt; upper threshold
1: Temp &lt; lower threshold
2: Temp RoC increase
3: Temp RoC decrease
4: Humidity &gt; upper threshold
5: Humidity &lt; lower threshold
6: Humidity RoC increase
7: Humidity RoC decrease
8: CO2 &gt; upper threshold
9: CO2 &lt; lower threshold
10: CO2 RoC increase
11: CO2 RoC decrease
12: PM1.0 &gt; upper threshold
13: PM1.0 &lt; lower threshold
14: PM1.0 RoC increase
15: PM1.0 RoC decrease
16: PM2.5 &gt; upper threshold
17: PM2.5 &lt; lower threshold
18: PM2.5 RoC increase
19: PM2.5 RoC decrease
20: PM4.0 &gt; upper threshold
21: PM4.0 &lt; lower threshold
22: PM4.0 RoC increase
23: PM4.0 RoC decrease
24: PM10.0 &gt; upper threshold
25: PM10.0 &lt; lower threshold
26: PM10.0 RoC increase
27: PM10.0 RoC decrease
28: VOC &gt; upper threshold
29: VOC &lt; lower threshold
30: VOC RoC increase
31: VOC RoC decrease
32: NoX &gt; upper threshold
33: Nox &lt; lower threshold
34: NoX RoC increase
35: NoX RoC decrease</t>
  </si>
  <si>
    <t>34</t>
  </si>
  <si>
    <t>Air Quality Periodic</t>
  </si>
  <si>
    <t>Temperature in C 2's comp, 1/10</t>
  </si>
  <si>
    <t>Humidity in %</t>
  </si>
  <si>
    <t>CO2 in PPM</t>
  </si>
  <si>
    <t>PM1.0 value in PPM</t>
  </si>
  <si>
    <t>PM 2.5 value in PPM</t>
  </si>
  <si>
    <t>35</t>
  </si>
  <si>
    <t>Air Quality Periodic Extended</t>
  </si>
  <si>
    <t>PM 4.0 value in PPM</t>
  </si>
  <si>
    <t>PM 10.0 value in PPM</t>
  </si>
  <si>
    <t>VOC in PPM</t>
  </si>
  <si>
    <t>NoX in PPM</t>
  </si>
  <si>
    <t>FA</t>
  </si>
  <si>
    <t>Index of Device Configuration (0x15 reads as 1 of 5)</t>
  </si>
  <si>
    <t>Configuration information (valid downlink)</t>
  </si>
  <si>
    <t>FB</t>
  </si>
  <si>
    <t>LINK_QUALITY</t>
  </si>
  <si>
    <t>Current Sub-Band</t>
  </si>
  <si>
    <t>RSSI if last downlink, signed integer in 2's compliment format</t>
  </si>
  <si>
    <t>SNR if last downlink, signed integer in 2's compliment format</t>
  </si>
  <si>
    <t>FC</t>
  </si>
  <si>
    <t>RATE_LIMIT_EXCEEDED (OBS)</t>
  </si>
  <si>
    <t>FD</t>
  </si>
  <si>
    <t>TEST_MESSAGE (OBS)</t>
  </si>
  <si>
    <t>FF</t>
  </si>
  <si>
    <t>DOWNLINK_ACK</t>
  </si>
  <si>
    <t>Ack &amp; result (00 Not used, 01 Invalid, 02 Valid, 03 Valid &amp; next byte has downlink RX)</t>
  </si>
  <si>
    <t>Valid Downlink bytes as received. Follows 0x03 in first byte only</t>
  </si>
  <si>
    <t>04</t>
  </si>
  <si>
    <t>Event type / Fractional pulse rate</t>
  </si>
  <si>
    <t>Pulse rate integer portion</t>
  </si>
  <si>
    <t>Pulse count [39:32]</t>
  </si>
  <si>
    <t>Pulse count [31:24]</t>
  </si>
  <si>
    <t>Pulse count [23:16]</t>
  </si>
  <si>
    <t>Pulse count [15:8]</t>
  </si>
  <si>
    <t>Pulse count [7:0]</t>
  </si>
  <si>
    <t>case</t>
  </si>
  <si>
    <t>DEVICE_TYPE in Reset</t>
  </si>
  <si>
    <t>Door/Window Sensor</t>
  </si>
  <si>
    <t>Door/Window High Security</t>
  </si>
  <si>
    <t>Contact Sensor</t>
  </si>
  <si>
    <t>No-Probe Temperature Sensor</t>
  </si>
  <si>
    <t>05</t>
  </si>
  <si>
    <t>External-Probe Temperature Sensor</t>
  </si>
  <si>
    <t>Single Push Button</t>
  </si>
  <si>
    <t>Dual Push Button</t>
  </si>
  <si>
    <t>Acceleration-Based Movement Sensor</t>
  </si>
  <si>
    <t>Tilt Sensor</t>
  </si>
  <si>
    <t>Water Sensor</t>
  </si>
  <si>
    <t>0B</t>
  </si>
  <si>
    <t>Tank Level Float Sensor</t>
  </si>
  <si>
    <t>0C</t>
  </si>
  <si>
    <t>Glass Break Sensor</t>
  </si>
  <si>
    <t>Ambient Light Sensor</t>
  </si>
  <si>
    <t>Air Temperature and Humidity Sensor</t>
  </si>
  <si>
    <t>High-Precision Tilt Sensor</t>
  </si>
  <si>
    <t>Ultrasonic Level Sensor</t>
  </si>
  <si>
    <t>4-20mA Current Loop Sensor</t>
  </si>
  <si>
    <t>12</t>
  </si>
  <si>
    <t>Ext-Probe Air Temp and Humidity Sensor</t>
  </si>
  <si>
    <t>Thermocouple Temperature Sensor</t>
  </si>
  <si>
    <t>Voltage Sensor</t>
  </si>
  <si>
    <t>Custom Sensor</t>
  </si>
  <si>
    <t>GPS</t>
  </si>
  <si>
    <t>Honeywell 5800 Bridge</t>
  </si>
  <si>
    <t>Magnetometer</t>
  </si>
  <si>
    <t>Temperature - ath INTernal</t>
  </si>
  <si>
    <t>Compass</t>
  </si>
  <si>
    <t>1B</t>
  </si>
  <si>
    <t>Vaisala Weather Station</t>
  </si>
  <si>
    <t>Vibration sensor high bandwicth Chan1</t>
  </si>
  <si>
    <t>Vibration sensor high bandwicth Chan2</t>
  </si>
  <si>
    <t>Vibration sensor high bandwicth Chan3</t>
  </si>
  <si>
    <t>Vibration sensor high bandwicth Chan4</t>
  </si>
  <si>
    <t>Vibration sensor high bandwicth condensed fft</t>
  </si>
  <si>
    <t>21</t>
  </si>
  <si>
    <t>Fridgebee shake-to-send</t>
  </si>
  <si>
    <t>22</t>
  </si>
  <si>
    <t>Pulse counter</t>
  </si>
  <si>
    <t>23</t>
  </si>
  <si>
    <t>DWS+ATH</t>
  </si>
  <si>
    <t>24</t>
  </si>
  <si>
    <t>Indoor Air Quality</t>
  </si>
  <si>
    <t>Result</t>
  </si>
  <si>
    <t>Device type</t>
  </si>
  <si>
    <t>Filter, don't sort</t>
  </si>
  <si>
    <t>1</t>
  </si>
  <si>
    <t>Generated DL</t>
  </si>
  <si>
    <t>4-20mA</t>
  </si>
  <si>
    <t>Report on Change/Threshold</t>
  </si>
  <si>
    <t>Periodic Reporting interval</t>
  </si>
  <si>
    <t>Periodic Reporting value</t>
  </si>
  <si>
    <t>Restoral Margin</t>
  </si>
  <si>
    <t>Lower Threshold / increase (0.01 steps)</t>
  </si>
  <si>
    <t>Upper Threshold / decrease (0.01 steps)</t>
  </si>
  <si>
    <t>DL_ID</t>
  </si>
  <si>
    <t>2</t>
  </si>
  <si>
    <t>Threshold</t>
  </si>
  <si>
    <t>Minutes</t>
  </si>
  <si>
    <t>3</t>
  </si>
  <si>
    <t>Acceleration Change Threshold</t>
  </si>
  <si>
    <t>Settling time (250mS units)</t>
  </si>
  <si>
    <t>Acceleration scaling factor</t>
  </si>
  <si>
    <t>Enable movement stopped events</t>
  </si>
  <si>
    <t>Enable movement started events</t>
  </si>
  <si>
    <t>4</t>
  </si>
  <si>
    <t>+/-2g</t>
  </si>
  <si>
    <t>Yes</t>
  </si>
  <si>
    <t>5</t>
  </si>
  <si>
    <t>ADR Advanced</t>
  </si>
  <si>
    <t>ADR ACK limit Unconfirmed mode</t>
  </si>
  <si>
    <t>ADR ACK delay Unconfirmed mode</t>
  </si>
  <si>
    <t>ADR ACK limit Confirmed mode</t>
  </si>
  <si>
    <t>ADR ACK delay Confirmed mode</t>
  </si>
  <si>
    <t>6</t>
  </si>
  <si>
    <t>EF40200201000000</t>
  </si>
  <si>
    <t>EF</t>
  </si>
  <si>
    <t>7</t>
  </si>
  <si>
    <t>Advanced</t>
  </si>
  <si>
    <t>Rate limit</t>
  </si>
  <si>
    <t>Port number</t>
  </si>
  <si>
    <t>Link Quality reporting interval</t>
  </si>
  <si>
    <t>Link Quality reporting value</t>
  </si>
  <si>
    <t>8</t>
  </si>
  <si>
    <t>9</t>
  </si>
  <si>
    <t>Air Temp Humidity</t>
  </si>
  <si>
    <t>Periodic Reporting</t>
  </si>
  <si>
    <t>Lower Temperature Threshold / Temp increase</t>
  </si>
  <si>
    <t>Upper Temperature Threshold / Temp decrease</t>
  </si>
  <si>
    <t>Temp restoral margin</t>
  </si>
  <si>
    <t>Humidity restoral margin</t>
  </si>
  <si>
    <t>Lower Humidity Threshold / Humidity increase</t>
  </si>
  <si>
    <t>Upper Humidity Threshold / Humidity decrease</t>
  </si>
  <si>
    <t>Report on Change</t>
  </si>
  <si>
    <t>Hours</t>
  </si>
  <si>
    <t>Enable Events</t>
  </si>
  <si>
    <t>Open hold time Seconds (in 250mS steps)</t>
  </si>
  <si>
    <t>Closed hold time Seconds (in 250mS steps)</t>
  </si>
  <si>
    <t>Dry Contact</t>
  </si>
  <si>
    <t>Enable Contact closed events</t>
  </si>
  <si>
    <t>Enable Contact open events</t>
  </si>
  <si>
    <t>Shorted hold time (in 250mS stepps)</t>
  </si>
  <si>
    <t>Open hold time (in 250mS stepps)</t>
  </si>
  <si>
    <t>No</t>
  </si>
  <si>
    <t>General</t>
  </si>
  <si>
    <t>Enable All Events</t>
  </si>
  <si>
    <t>Enable Adaptive Data Rate</t>
  </si>
  <si>
    <t>Use Confirmed Messages</t>
  </si>
  <si>
    <t>Number of Retries</t>
  </si>
  <si>
    <t>Supervisory reporting interval</t>
  </si>
  <si>
    <t>Supervisory Period value</t>
  </si>
  <si>
    <t>Sampling Time interval</t>
  </si>
  <si>
    <t>Sampling Time value</t>
  </si>
  <si>
    <t>mS</t>
  </si>
  <si>
    <t>Number of failed confirmed message transmits before a rejoin. 1-255, 0 disables</t>
  </si>
  <si>
    <t>ee06000000000000</t>
  </si>
  <si>
    <t>EE</t>
  </si>
  <si>
    <t>Push button</t>
  </si>
  <si>
    <t>Enable hold</t>
  </si>
  <si>
    <t>Enable released</t>
  </si>
  <si>
    <t>Enable pressed</t>
  </si>
  <si>
    <t>Hold delay (in 250mS stepps)</t>
  </si>
  <si>
    <t>LED Blink on confirmed</t>
  </si>
  <si>
    <t>LED blink on send</t>
  </si>
  <si>
    <t>LED when pressed</t>
  </si>
  <si>
    <t>Rejoin</t>
  </si>
  <si>
    <t>Enable discard packets</t>
  </si>
  <si>
    <t>Enable inportant messages</t>
  </si>
  <si>
    <t>Enable retain subband</t>
  </si>
  <si>
    <t>Subband Retries</t>
  </si>
  <si>
    <t>Message discards</t>
  </si>
  <si>
    <t>ea01ff0500000000</t>
  </si>
  <si>
    <t>EA</t>
  </si>
  <si>
    <t>25</t>
  </si>
  <si>
    <t>26</t>
  </si>
  <si>
    <t>27</t>
  </si>
  <si>
    <t>Thermocouple type</t>
  </si>
  <si>
    <t>28</t>
  </si>
  <si>
    <t>K</t>
  </si>
  <si>
    <t>29</t>
  </si>
  <si>
    <t>Enable report on change (ROC) to Vertical</t>
  </si>
  <si>
    <t>Enable ROC to Horizontal</t>
  </si>
  <si>
    <t>Enable transitions to Vertical</t>
  </si>
  <si>
    <t>Enable transitions to Horizontal</t>
  </si>
  <si>
    <t>Angle for transition to Horizontal</t>
  </si>
  <si>
    <t>Angle for transition to vertical</t>
  </si>
  <si>
    <t>Vertical hold time (250mS units)</t>
  </si>
  <si>
    <t>Horizontal hold time (250mS units)</t>
  </si>
  <si>
    <t>ROC towards Vertical (5-90, 0-4 disables)</t>
  </si>
  <si>
    <t>ROC towards Horizontal (5-90, 0-4 disables)</t>
  </si>
  <si>
    <t>30</t>
  </si>
  <si>
    <t>31</t>
  </si>
  <si>
    <t>Restoral margin 10mV - 2.55V 0 disables</t>
  </si>
  <si>
    <t>Lower Voltage Threshold / V increase</t>
  </si>
  <si>
    <t>Upper Voltage Threshold / V decrease</t>
  </si>
  <si>
    <t>32</t>
  </si>
  <si>
    <t>Advanced IAQ</t>
  </si>
  <si>
    <t>Pressure Sampling Period</t>
  </si>
  <si>
    <t>CO2 Sampling Period</t>
  </si>
  <si>
    <t>ATH Sampling Period</t>
  </si>
  <si>
    <t>ATH Reporting interval</t>
  </si>
  <si>
    <t>ATH Periodic Reporting value</t>
  </si>
  <si>
    <t>CO2 Reporting interval</t>
  </si>
  <si>
    <t>CO2 Periodic Reporting value</t>
  </si>
  <si>
    <t>Pressure Reporting interval</t>
  </si>
  <si>
    <t>Pressure Periodic Reporting value</t>
  </si>
  <si>
    <t>36</t>
  </si>
  <si>
    <t>Update</t>
  </si>
  <si>
    <t>37</t>
  </si>
  <si>
    <t>Advanced IAQ Radio</t>
  </si>
  <si>
    <t>Link quality period</t>
  </si>
  <si>
    <t>Link quality attempts</t>
  </si>
  <si>
    <t>Unconfirmed ADR ACK limit</t>
  </si>
  <si>
    <t>Unconfirmed ADR ACK delay</t>
  </si>
  <si>
    <t>Confirmed ADR ACK limit</t>
  </si>
  <si>
    <t>Confirmed ADR ACK delay</t>
  </si>
  <si>
    <t>Info8</t>
  </si>
  <si>
    <t>38</t>
  </si>
  <si>
    <t>39</t>
  </si>
  <si>
    <t>Air Temp &amp; Humidity Sensor Report on Change Configuration</t>
  </si>
  <si>
    <t>Enable report on change (ROC) reporting</t>
  </si>
  <si>
    <t>Temperature Decrease</t>
  </si>
  <si>
    <t>Temperature Increase</t>
  </si>
  <si>
    <t>Humidity Decrease</t>
  </si>
  <si>
    <t>Humidity Increase</t>
  </si>
  <si>
    <t>40</t>
  </si>
  <si>
    <t>41</t>
  </si>
  <si>
    <t>Air Temp &amp; Humidity Sensor Threshold Configuration</t>
  </si>
  <si>
    <t>Enable Threshold reporting</t>
  </si>
  <si>
    <t>Temperature restoral margin</t>
  </si>
  <si>
    <t>Lower Temperature threshold</t>
  </si>
  <si>
    <t>Upper Temperature threshold</t>
  </si>
  <si>
    <t>Lower Humidity threshold</t>
  </si>
  <si>
    <t>Upper Humidity threshold</t>
  </si>
  <si>
    <t>42</t>
  </si>
  <si>
    <t>43</t>
  </si>
  <si>
    <t>CO2 Sensor Report on Change Configuration</t>
  </si>
  <si>
    <t>Enable ROC reporting</t>
  </si>
  <si>
    <t>CO2 Decrease</t>
  </si>
  <si>
    <t>CO2 Increase</t>
  </si>
  <si>
    <t>44</t>
  </si>
  <si>
    <t>45</t>
  </si>
  <si>
    <t>CO2 Sensor Threshold Configuration</t>
  </si>
  <si>
    <t>Expected CO2 value</t>
  </si>
  <si>
    <t>Lower CO2 threshold</t>
  </si>
  <si>
    <t>Upper CO2 threshold</t>
  </si>
  <si>
    <t>46</t>
  </si>
  <si>
    <t>47</t>
  </si>
  <si>
    <t>Discard Packets</t>
  </si>
  <si>
    <t>Discard backlog</t>
  </si>
  <si>
    <t>48</t>
  </si>
  <si>
    <t>EB</t>
  </si>
  <si>
    <t>49</t>
  </si>
  <si>
    <t>General IAQ Configuration</t>
  </si>
  <si>
    <t>Uplink retries</t>
  </si>
  <si>
    <t>Confirmed uplinks</t>
  </si>
  <si>
    <t>ADR</t>
  </si>
  <si>
    <t>Super Reporting interval</t>
  </si>
  <si>
    <t>Super Periodic Reporting value</t>
  </si>
  <si>
    <t>Periodic Periodic Reporting value</t>
  </si>
  <si>
    <t>50</t>
  </si>
  <si>
    <t>51</t>
  </si>
  <si>
    <t>NoX Sensor Report on Change Configuration</t>
  </si>
  <si>
    <t>NoX Decrease</t>
  </si>
  <si>
    <t>NoX Increase</t>
  </si>
  <si>
    <t>52</t>
  </si>
  <si>
    <t>53</t>
  </si>
  <si>
    <t>NoX Sensor Threshold Configuration</t>
  </si>
  <si>
    <t>Expected NoX value</t>
  </si>
  <si>
    <t>Lower NoX threshold</t>
  </si>
  <si>
    <t>Upper NoX threshold</t>
  </si>
  <si>
    <t>54</t>
  </si>
  <si>
    <t>55</t>
  </si>
  <si>
    <t>PM 1.0 Sensor Threshold Configuration</t>
  </si>
  <si>
    <t>Expected PM 1.0 value</t>
  </si>
  <si>
    <t>Lower PM 1.0 threshold</t>
  </si>
  <si>
    <t>Upper PM 1.0 threshold</t>
  </si>
  <si>
    <t>56</t>
  </si>
  <si>
    <t>57</t>
  </si>
  <si>
    <t>PM 1.0 Sensor Report on Change Configuration</t>
  </si>
  <si>
    <t>PM 1.0 Decrease</t>
  </si>
  <si>
    <t>PM 1.0 Increase</t>
  </si>
  <si>
    <t>58</t>
  </si>
  <si>
    <t>59</t>
  </si>
  <si>
    <t>PM 2.5 Sensor Threshold Configuration</t>
  </si>
  <si>
    <t>Expected PM 2.5 value</t>
  </si>
  <si>
    <t>Lower PM 2.5 threshold</t>
  </si>
  <si>
    <t>Upper PM 2.5 threshold</t>
  </si>
  <si>
    <t>60</t>
  </si>
  <si>
    <t>61</t>
  </si>
  <si>
    <t>PM 2.5 Sensor Report on Change Configuration</t>
  </si>
  <si>
    <t>PM 2.5 Decrease</t>
  </si>
  <si>
    <t>PM 2.5 Increase</t>
  </si>
  <si>
    <t>62</t>
  </si>
  <si>
    <t>3A</t>
  </si>
  <si>
    <t>63</t>
  </si>
  <si>
    <t>PM 4.0 Sensor Threshold Configuration</t>
  </si>
  <si>
    <t>Expected PM 4.0 value</t>
  </si>
  <si>
    <t>Lower PM 4.0 threshold</t>
  </si>
  <si>
    <t>Upper PM 4.0 threshold</t>
  </si>
  <si>
    <t>64</t>
  </si>
  <si>
    <t>3B</t>
  </si>
  <si>
    <t>65</t>
  </si>
  <si>
    <t>PM 4.0 Sensor Report on Change Configuration</t>
  </si>
  <si>
    <t>PM 4.0 Decrease</t>
  </si>
  <si>
    <t>PM 4.0 Increase</t>
  </si>
  <si>
    <t>66</t>
  </si>
  <si>
    <t>3C</t>
  </si>
  <si>
    <t>67</t>
  </si>
  <si>
    <t>PM 10.0 Sensor Threshold Configuration</t>
  </si>
  <si>
    <t>Expected PM 10.0 value</t>
  </si>
  <si>
    <t>Lower PM 10.0 threshold</t>
  </si>
  <si>
    <t>Upper PM 10.0 threshold</t>
  </si>
  <si>
    <t>68</t>
  </si>
  <si>
    <t>3D</t>
  </si>
  <si>
    <t>69</t>
  </si>
  <si>
    <t>PM 10.0 Sensor Report on Change Configuration</t>
  </si>
  <si>
    <t>PM 10.0 Decrease</t>
  </si>
  <si>
    <t>PM 10.0 Increase</t>
  </si>
  <si>
    <t>70</t>
  </si>
  <si>
    <t>3E</t>
  </si>
  <si>
    <t>71</t>
  </si>
  <si>
    <t>Shake-to-send Configuration (Firmware 3.0 or newer)</t>
  </si>
  <si>
    <t>Enable shake to send</t>
  </si>
  <si>
    <t>Motion threshold</t>
  </si>
  <si>
    <t>72</t>
  </si>
  <si>
    <t>73</t>
  </si>
  <si>
    <t>VOC Sensor Threshold Configuration</t>
  </si>
  <si>
    <t>74</t>
  </si>
  <si>
    <t>3F</t>
  </si>
  <si>
    <t>75</t>
  </si>
  <si>
    <t>VOC Sensor Report on Change Configuration</t>
  </si>
  <si>
    <t>76</t>
  </si>
  <si>
    <t>77</t>
  </si>
  <si>
    <t>Restoral margin</t>
  </si>
  <si>
    <t>Overspeed threshold</t>
  </si>
  <si>
    <t>Underspeed threshold</t>
  </si>
  <si>
    <t>Too-Long interval</t>
  </si>
  <si>
    <t>Too-Long value</t>
  </si>
  <si>
    <t>78</t>
  </si>
  <si>
    <t>Milliseconds</t>
  </si>
  <si>
    <t>ROC_Temp</t>
  </si>
  <si>
    <t>ContactTime</t>
  </si>
  <si>
    <t>ContactTimeHex</t>
  </si>
  <si>
    <t>AMBSettlingTime</t>
  </si>
  <si>
    <t>AMBSettlingTimeHex</t>
  </si>
  <si>
    <t>AngleForTransition</t>
  </si>
  <si>
    <t>HoldTime</t>
  </si>
  <si>
    <t>AngleForReport</t>
  </si>
  <si>
    <t>Thermocouple Type</t>
  </si>
  <si>
    <t>Thermocouple code</t>
  </si>
  <si>
    <t>IAQ message ID</t>
  </si>
  <si>
    <t>IAQ message type</t>
  </si>
  <si>
    <t>Threshold sample size</t>
  </si>
  <si>
    <t>0 Seconds</t>
  </si>
  <si>
    <t>0000</t>
  </si>
  <si>
    <t>B</t>
  </si>
  <si>
    <t>Temp &gt; upper threshold</t>
  </si>
  <si>
    <t>.25 Seconds</t>
  </si>
  <si>
    <t>0001</t>
  </si>
  <si>
    <t>E</t>
  </si>
  <si>
    <t>Temp &lt; lower threshold</t>
  </si>
  <si>
    <t>.5 Seconds</t>
  </si>
  <si>
    <t>0002</t>
  </si>
  <si>
    <t>J</t>
  </si>
  <si>
    <t>0010</t>
  </si>
  <si>
    <t>Temp RoC increase</t>
  </si>
  <si>
    <t>1 Second</t>
  </si>
  <si>
    <t>0004</t>
  </si>
  <si>
    <t>0011</t>
  </si>
  <si>
    <t>Temp RoC decrease</t>
  </si>
  <si>
    <t>2 Seconds</t>
  </si>
  <si>
    <t>0008</t>
  </si>
  <si>
    <t>N</t>
  </si>
  <si>
    <t>0100</t>
  </si>
  <si>
    <t>Humidity &gt; upper threshold</t>
  </si>
  <si>
    <t>3 Seconds</t>
  </si>
  <si>
    <t>000C</t>
  </si>
  <si>
    <t>C</t>
  </si>
  <si>
    <t>R</t>
  </si>
  <si>
    <t>0101</t>
  </si>
  <si>
    <t>Humidity &lt; lower threshold</t>
  </si>
  <si>
    <t xml:space="preserve">4 Seconds </t>
  </si>
  <si>
    <t>S</t>
  </si>
  <si>
    <t>0110</t>
  </si>
  <si>
    <t>Humidity RoC increase</t>
  </si>
  <si>
    <t>5 Seconds</t>
  </si>
  <si>
    <t>0014</t>
  </si>
  <si>
    <t>T</t>
  </si>
  <si>
    <t>0111</t>
  </si>
  <si>
    <t>Humidity RoC decrease</t>
  </si>
  <si>
    <t>10 Seconds</t>
  </si>
  <si>
    <t>0028</t>
  </si>
  <si>
    <t>V Mode Gain 8</t>
  </si>
  <si>
    <t>1000</t>
  </si>
  <si>
    <t>CO2 &gt; upper threshold</t>
  </si>
  <si>
    <t>30 Seconds</t>
  </si>
  <si>
    <t>0078</t>
  </si>
  <si>
    <t>V Mode Gain 32</t>
  </si>
  <si>
    <t>1100</t>
  </si>
  <si>
    <t>CO2 &lt; lower threshold</t>
  </si>
  <si>
    <t>1 Minute</t>
  </si>
  <si>
    <t>00F0</t>
  </si>
  <si>
    <t>CO2 RoC increase</t>
  </si>
  <si>
    <t>5 Minutes</t>
  </si>
  <si>
    <t>04FB</t>
  </si>
  <si>
    <t>CO2 RoC decrease</t>
  </si>
  <si>
    <t>10 Minutes</t>
  </si>
  <si>
    <t>0960</t>
  </si>
  <si>
    <t>PM1.0 &gt; upper threshold</t>
  </si>
  <si>
    <t>30 Minutes</t>
  </si>
  <si>
    <t>1C20</t>
  </si>
  <si>
    <t>2C</t>
  </si>
  <si>
    <t>PM1.0 &lt; lower threshold</t>
  </si>
  <si>
    <t>1 Hour</t>
  </si>
  <si>
    <t>3840</t>
  </si>
  <si>
    <t>PM1.0 RoC increase</t>
  </si>
  <si>
    <t>2 Hours</t>
  </si>
  <si>
    <t>7080</t>
  </si>
  <si>
    <t>PM1.0 RoC decrease</t>
  </si>
  <si>
    <t>3 Hours</t>
  </si>
  <si>
    <t>A8C0</t>
  </si>
  <si>
    <t>PM2.5 &gt; upper threshold</t>
  </si>
  <si>
    <t>4 hours</t>
  </si>
  <si>
    <t>PM2.5 &lt; lower threshold</t>
  </si>
  <si>
    <t>PM2.5 RoC increase</t>
  </si>
  <si>
    <t>PM2.5 RoC decrease</t>
  </si>
  <si>
    <t>PM4.0 &gt; upper threshold</t>
  </si>
  <si>
    <t>4C</t>
  </si>
  <si>
    <t>PM4.0 &lt; lower threshold</t>
  </si>
  <si>
    <t>PM4.0 RoC increase</t>
  </si>
  <si>
    <t>PM4.0 RoC decrease</t>
  </si>
  <si>
    <t>PM10.0 &gt; upper threshold</t>
  </si>
  <si>
    <t>5C</t>
  </si>
  <si>
    <t>PM10.0 &lt; lower threshold</t>
  </si>
  <si>
    <t>PM10.0 RoC increase</t>
  </si>
  <si>
    <t>PM10.0 RoC decrease</t>
  </si>
  <si>
    <t>VOC &gt; upper threshold</t>
  </si>
  <si>
    <t>6C</t>
  </si>
  <si>
    <t>VOC &lt; lower threshold</t>
  </si>
  <si>
    <t>VOC RoC increase</t>
  </si>
  <si>
    <t>VOC RoC decrease</t>
  </si>
  <si>
    <t>NoX &gt; upper threshold</t>
  </si>
  <si>
    <t>7C</t>
  </si>
  <si>
    <t>Nox &lt; lower threshold</t>
  </si>
  <si>
    <t>80</t>
  </si>
  <si>
    <t>NoX RoC increase</t>
  </si>
  <si>
    <t>84</t>
  </si>
  <si>
    <t>NoX RoC decrease</t>
  </si>
  <si>
    <t>88</t>
  </si>
  <si>
    <t>8C</t>
  </si>
  <si>
    <t>90</t>
  </si>
  <si>
    <t>94</t>
  </si>
  <si>
    <t>98</t>
  </si>
  <si>
    <t>9C</t>
  </si>
  <si>
    <t>A0</t>
  </si>
  <si>
    <t>A4</t>
  </si>
  <si>
    <t>A8</t>
  </si>
  <si>
    <t>AC</t>
  </si>
  <si>
    <t>B0</t>
  </si>
  <si>
    <t>B4</t>
  </si>
  <si>
    <t>B8</t>
  </si>
  <si>
    <t>BC</t>
  </si>
  <si>
    <t>C0</t>
  </si>
  <si>
    <t>C4</t>
  </si>
  <si>
    <t>C8</t>
  </si>
  <si>
    <t>CC</t>
  </si>
  <si>
    <t>D0</t>
  </si>
  <si>
    <t>D4</t>
  </si>
  <si>
    <t>D8</t>
  </si>
  <si>
    <t>DC</t>
  </si>
  <si>
    <t>E0</t>
  </si>
  <si>
    <t>E4</t>
  </si>
  <si>
    <t>E8</t>
  </si>
  <si>
    <t>EC</t>
  </si>
  <si>
    <t>F0</t>
  </si>
  <si>
    <t>F4</t>
  </si>
  <si>
    <t>F8</t>
  </si>
  <si>
    <t>110</t>
  </si>
  <si>
    <t>Starts with "11"</t>
  </si>
  <si>
    <t>Lower Threshold / increase</t>
  </si>
  <si>
    <t>Upper Threshold / decrease</t>
  </si>
  <si>
    <t>111</t>
  </si>
  <si>
    <t>11008A0A0017620C</t>
  </si>
  <si>
    <t>0E0</t>
  </si>
  <si>
    <t>Starts with "0E"</t>
  </si>
  <si>
    <t>0E1</t>
  </si>
  <si>
    <t>0E02020000000000</t>
  </si>
  <si>
    <t>EF0</t>
  </si>
  <si>
    <t>Starts with "EF"</t>
  </si>
  <si>
    <t>EF0A050403000000</t>
  </si>
  <si>
    <t>FC0</t>
  </si>
  <si>
    <t>Starts with "FC"</t>
  </si>
  <si>
    <t>FC1</t>
  </si>
  <si>
    <t>FC00008100000000</t>
  </si>
  <si>
    <t>310</t>
  </si>
  <si>
    <t>Advanced IAQ Configuration</t>
  </si>
  <si>
    <t>Starts with "31"</t>
  </si>
  <si>
    <t>ATH Sampling Period interval</t>
  </si>
  <si>
    <t>CO2 Sampling Period interval</t>
  </si>
  <si>
    <t>Pressure Sampling Period interval</t>
  </si>
  <si>
    <t>311</t>
  </si>
  <si>
    <t>31028105aa</t>
  </si>
  <si>
    <t>320</t>
  </si>
  <si>
    <t>Advanced IAQ Radio Configuration</t>
  </si>
  <si>
    <t>Starts with "32"</t>
  </si>
  <si>
    <t>Link Quality Period interval</t>
  </si>
  <si>
    <t>Link Quality Period value</t>
  </si>
  <si>
    <t>Link Quality attempts</t>
  </si>
  <si>
    <t>321</t>
  </si>
  <si>
    <t>320a81ff010a0581</t>
  </si>
  <si>
    <t>340</t>
  </si>
  <si>
    <t>Starts with "34"</t>
  </si>
  <si>
    <t>Enable RoC reporting</t>
  </si>
  <si>
    <t>Temperature decrease</t>
  </si>
  <si>
    <t>Temperature increase</t>
  </si>
  <si>
    <t>Humidity decrease</t>
  </si>
  <si>
    <t>Humidity increase</t>
  </si>
  <si>
    <t>341</t>
  </si>
  <si>
    <t>330</t>
  </si>
  <si>
    <t>Starts with "33"</t>
  </si>
  <si>
    <t>Enable threshold reporting</t>
  </si>
  <si>
    <t>Low temperature threshold</t>
  </si>
  <si>
    <t>High temperature threshold</t>
  </si>
  <si>
    <t>Low Humidity threshold</t>
  </si>
  <si>
    <t>High Humidity threshold</t>
  </si>
  <si>
    <t>331</t>
  </si>
  <si>
    <t>0D0</t>
  </si>
  <si>
    <t>Starts with "0D"</t>
  </si>
  <si>
    <t>0D1</t>
  </si>
  <si>
    <t>0D00861119301930</t>
  </si>
  <si>
    <t>360</t>
  </si>
  <si>
    <t>Starts with "36"</t>
  </si>
  <si>
    <t>CO2 decrease</t>
  </si>
  <si>
    <t>CO2 increase</t>
  </si>
  <si>
    <t>361</t>
  </si>
  <si>
    <t>360102030405</t>
  </si>
  <si>
    <t>350</t>
  </si>
  <si>
    <t>Starts with "35"</t>
  </si>
  <si>
    <t>CO2 lower limit</t>
  </si>
  <si>
    <t>CO2 upper limit</t>
  </si>
  <si>
    <t>351</t>
  </si>
  <si>
    <t>3501000300050006</t>
  </si>
  <si>
    <t>ED0</t>
  </si>
  <si>
    <t>Device Info Request (Firmware 3.0 or newer)</t>
  </si>
  <si>
    <t>Only "ED"</t>
  </si>
  <si>
    <t>ED1</t>
  </si>
  <si>
    <t>ED</t>
  </si>
  <si>
    <t>EB0</t>
  </si>
  <si>
    <t>Discard packets</t>
  </si>
  <si>
    <t>Starts with "EB"</t>
  </si>
  <si>
    <t>EB1</t>
  </si>
  <si>
    <t>EB01</t>
  </si>
  <si>
    <t>030</t>
  </si>
  <si>
    <t>Starts with "03"</t>
  </si>
  <si>
    <t>031</t>
  </si>
  <si>
    <t>0300000100010000</t>
  </si>
  <si>
    <t>700</t>
  </si>
  <si>
    <t>Starts with "70"</t>
  </si>
  <si>
    <t>701</t>
  </si>
  <si>
    <t>0700000200050000</t>
  </si>
  <si>
    <t>010</t>
  </si>
  <si>
    <t>Starts with "01"</t>
  </si>
  <si>
    <t>011</t>
  </si>
  <si>
    <t>010007823c000000</t>
  </si>
  <si>
    <t>300</t>
  </si>
  <si>
    <t>General IAQ configuration</t>
  </si>
  <si>
    <t>Starts with "30"</t>
  </si>
  <si>
    <t>Uplink retries if ACK not received (confirmed mode)</t>
  </si>
  <si>
    <t>Uplinks: Confirmed or unconfirmed</t>
  </si>
  <si>
    <t>Supervisory Period interval</t>
  </si>
  <si>
    <t>Supervisory Periodic Reporting value</t>
  </si>
  <si>
    <t>Periodic reporting interval</t>
  </si>
  <si>
    <t>301</t>
  </si>
  <si>
    <t>3000030881</t>
  </si>
  <si>
    <t>EE0</t>
  </si>
  <si>
    <t>Starts with "EE"</t>
  </si>
  <si>
    <t>EE1</t>
  </si>
  <si>
    <t>420</t>
  </si>
  <si>
    <t>Starts with "42"</t>
  </si>
  <si>
    <t>RoC reporting</t>
  </si>
  <si>
    <t>421</t>
  </si>
  <si>
    <t>420100020003</t>
  </si>
  <si>
    <t>410</t>
  </si>
  <si>
    <t>Starts with "41"</t>
  </si>
  <si>
    <t>Threshold reporting</t>
  </si>
  <si>
    <t>NoX lower limit</t>
  </si>
  <si>
    <t>NoX upper limit</t>
  </si>
  <si>
    <t>411</t>
  </si>
  <si>
    <t>4101000800070006</t>
  </si>
  <si>
    <t>380</t>
  </si>
  <si>
    <t>Starts with "38"</t>
  </si>
  <si>
    <t>381</t>
  </si>
  <si>
    <t>380100010002</t>
  </si>
  <si>
    <t>370</t>
  </si>
  <si>
    <t>Starts with "37"</t>
  </si>
  <si>
    <t>PM 1.0 lower limit</t>
  </si>
  <si>
    <t>PM 1.0 upper limit</t>
  </si>
  <si>
    <t>371</t>
  </si>
  <si>
    <t>3701000100020003</t>
  </si>
  <si>
    <t>3E0</t>
  </si>
  <si>
    <t>Starts with "3E"</t>
  </si>
  <si>
    <t>3E1</t>
  </si>
  <si>
    <t>3E01000C000D</t>
  </si>
  <si>
    <t>3D0</t>
  </si>
  <si>
    <t>Starts with "3D"</t>
  </si>
  <si>
    <t>PM 10.0 lower limit</t>
  </si>
  <si>
    <t>PM 10.0 upper limit</t>
  </si>
  <si>
    <t>3D1</t>
  </si>
  <si>
    <t>3D010009000a000b</t>
  </si>
  <si>
    <t>3A0</t>
  </si>
  <si>
    <t>Starts with "3A"</t>
  </si>
  <si>
    <t>3A1</t>
  </si>
  <si>
    <t>3A0100080009</t>
  </si>
  <si>
    <t>390</t>
  </si>
  <si>
    <t>Starts with "39"</t>
  </si>
  <si>
    <t>PM 2.5 lower limit</t>
  </si>
  <si>
    <t>PM 2.5 upper limit</t>
  </si>
  <si>
    <t>391</t>
  </si>
  <si>
    <t>3901000500060007</t>
  </si>
  <si>
    <t>3C0</t>
  </si>
  <si>
    <t>Starts with "3C"</t>
  </si>
  <si>
    <t>3C1</t>
  </si>
  <si>
    <t>3C01000C000D</t>
  </si>
  <si>
    <t>3B0</t>
  </si>
  <si>
    <t>Starts with "3B"</t>
  </si>
  <si>
    <t>PM 4.0 lower limit</t>
  </si>
  <si>
    <t>PM 4.0 upper limit</t>
  </si>
  <si>
    <t>3B1</t>
  </si>
  <si>
    <t>3B010009000a000b</t>
  </si>
  <si>
    <t>040</t>
  </si>
  <si>
    <t>Starts with "04"</t>
  </si>
  <si>
    <t>041</t>
  </si>
  <si>
    <t>060</t>
  </si>
  <si>
    <t>Starts with "06"</t>
  </si>
  <si>
    <t>061</t>
  </si>
  <si>
    <t>0603080100000000</t>
  </si>
  <si>
    <t>EA0</t>
  </si>
  <si>
    <t>Starts with "EA"</t>
  </si>
  <si>
    <t>EA1</t>
  </si>
  <si>
    <t>EA020A0000000000</t>
  </si>
  <si>
    <t>EC0</t>
  </si>
  <si>
    <t>Restore All Factory Defaults (Firmware 3.0 or newer)</t>
  </si>
  <si>
    <t>Only "EC"</t>
  </si>
  <si>
    <t>EC1</t>
  </si>
  <si>
    <t>200</t>
  </si>
  <si>
    <t>Starts with "20"</t>
  </si>
  <si>
    <t>Shake to send events</t>
  </si>
  <si>
    <t>Scaling factor</t>
  </si>
  <si>
    <t>Motion Threshold</t>
  </si>
  <si>
    <t>201</t>
  </si>
  <si>
    <t>2000010203</t>
  </si>
  <si>
    <t>090</t>
  </si>
  <si>
    <t>Starts with "09"</t>
  </si>
  <si>
    <t>091</t>
  </si>
  <si>
    <t>09018A020A0A0000</t>
  </si>
  <si>
    <t>190</t>
  </si>
  <si>
    <t>Starts with "19"</t>
  </si>
  <si>
    <t>191</t>
  </si>
  <si>
    <t>19008F050A280000</t>
  </si>
  <si>
    <t>130</t>
  </si>
  <si>
    <t>Starts with "13"</t>
  </si>
  <si>
    <t>131</t>
  </si>
  <si>
    <t>13068F05028000A0</t>
  </si>
  <si>
    <t>0A0</t>
  </si>
  <si>
    <t>Starts with "0A"</t>
  </si>
  <si>
    <t>0A1</t>
  </si>
  <si>
    <t>0A08372301020708</t>
  </si>
  <si>
    <t>400</t>
  </si>
  <si>
    <t>Starts with "40"</t>
  </si>
  <si>
    <t>VOC Decrease</t>
  </si>
  <si>
    <t>VOC Increase</t>
  </si>
  <si>
    <t>401</t>
  </si>
  <si>
    <t>400100050007</t>
  </si>
  <si>
    <t>3F0</t>
  </si>
  <si>
    <t>Starts with "3F"</t>
  </si>
  <si>
    <t>Expected VOC value</t>
  </si>
  <si>
    <t>VOC lower limit</t>
  </si>
  <si>
    <t>VOC upper limit</t>
  </si>
  <si>
    <t>3F1</t>
  </si>
  <si>
    <t>3F01000100020003</t>
  </si>
  <si>
    <t>140</t>
  </si>
  <si>
    <t>Starts with "14"</t>
  </si>
  <si>
    <t>141</t>
  </si>
  <si>
    <t>1400940A03E804B0</t>
  </si>
  <si>
    <t>080</t>
  </si>
  <si>
    <t>Starts with "08"</t>
  </si>
  <si>
    <t>081</t>
  </si>
  <si>
    <t>0800690100000000</t>
  </si>
  <si>
    <t>Packet</t>
  </si>
  <si>
    <t>Downink -&gt;</t>
  </si>
  <si>
    <t>13308C05FF000FA00000</t>
  </si>
  <si>
    <t>Decoded</t>
  </si>
  <si>
    <t>Examples</t>
  </si>
  <si>
    <t>Console text</t>
  </si>
  <si>
    <t>Verified</t>
  </si>
  <si>
    <t>fc00019800000000</t>
  </si>
  <si>
    <t>Rate limit: 0x00
Port Number: 0x01
Connectivity Ping Period: 24 Minutes
    Minutes = 0b1
    24 = 0b0011000</t>
  </si>
  <si>
    <t>0100211801000000</t>
  </si>
  <si>
    <t>Disable all events: No
Supervisory Period: 24 Hours
Sampling Period: 250 ms
Enable Adaptive Data Rate: ADR Disabled
Use Confirmed Messages: Yes
Uplink retries: 8</t>
  </si>
  <si>
    <t>01000c1345000000</t>
  </si>
  <si>
    <t>Disable all events: No        0x00
Radio Config: 0x0C
    Bit 7 = 0
    Bit 6: Duty cycle (EU) = 0
    Bits 5-2: Uplink retries = 3 =0b0011
    Bit 1: Use Unconfirmed Messages: No = 0
    Bit 0: Disable Adaptive Data Rate: ADR Enabled = 0
Supervisory Period: 19 Hours: 0x13
    Bits 7-6 : Hours =0b00
    Bits 5-0 : 19 = 0b010011
Sampling Period: 5 seconds: 0x45
    Bits 7-6 : Seconds =0b01
    Bits 5-0: 5 = 0b000101</t>
  </si>
  <si>
    <t>0800690000000000</t>
  </si>
  <si>
    <t>Enable water present message: Yes
Enable water not present message: Yes
Threshold of relative resistance between probes: 105
Restoral margin in units of relative resistance between probes: 0</t>
  </si>
  <si>
    <t>19008f050a280000</t>
  </si>
  <si>
    <t>Temp</t>
  </si>
  <si>
    <t>Config Type : Threshold        0x00
Periodic Reporting: 15 Minutes
    Minutes = 0b1
    15 = 0b000 1111
Restoral margin - Temperature: 5°C        0x05, 0b0000 0101
Lower temperature threshold: 10°C        0b0000 1010
Upper temperature threshold: 40°C        0b0010 1000</t>
  </si>
  <si>
    <t>2001031E14000000</t>
  </si>
  <si>
    <t>Shake to send settings</t>
  </si>
  <si>
    <t>Shake to Send Enable: Yes        01
Accel Scaling Factor: 16g        03
Motion Threshold: 30        1E
Settling Time: 5 seconds        5/.25=20 -&gt; 14</t>
  </si>
  <si>
    <t>0100061804000000</t>
  </si>
  <si>
    <t>Disable all events: No        0x00
Radio Config: 0x06
    Bit 7 = 0
    Bit 6: Duty cycle (EU) = 0
    Bits 5-2: Uplink retries = 1 =0b0001
    Bit 1: Use Unconfirmed Messages: Yes = 1
    Bit 0: Disable Adaptive Data Rate: ADR Enabled = 0
Supervisory Period: 24 Hours: 0x18
    Bits 7-6 : Hours =0b00
    Bits 5-0 : 24 = 0b011000
Sampling Period: 1 seconds: 0x04
    Bits 7-6 : 250mS  =0b00
    Bits 5-0: 5 = 0b000100</t>
  </si>
  <si>
    <t>0100061200000000</t>
  </si>
  <si>
    <t>FC00011800000000</t>
  </si>
  <si>
    <t>Rate limit: 0x00
Port Number: 0x01
Connectivity Ping Period: 24 Hours
    Hours = 0b0
    24 = 0b0011000</t>
  </si>
  <si>
    <t>EE0C000000000000</t>
  </si>
  <si>
    <t>0C
12 attempts before rejoin</t>
  </si>
  <si>
    <t xml:space="preserve">    ADR ACK limit (unconfirmed): 0x40 = 64	
    ADR ACK Delay (unconfirmed): 0x20 = 32
    ADR ACK limit (confirmed): 0x02 = 2	
    ADR ACK Delay (confirmed): 0x01 = 1</t>
  </si>
  <si>
    <t>EA02030500000000</t>
  </si>
  <si>
    <t>Rejoin Downlink</t>
  </si>
  <si>
    <t xml:space="preserve">    Flags: 0x02
        Enable discard packets: False
        Enable important messages: True
        Enable retain subband: False
    Subband retries: 0x03 = 3
    Message Discards: 0x05 = 5</t>
  </si>
  <si>
    <t>0E05140000000000</t>
  </si>
  <si>
    <t>ABM Config</t>
  </si>
  <si>
    <t xml:space="preserve">  Acceleration change threshold: 0x05 = 5
  Settling time: 0x14 
        250ms increments 20*0.25 = 5 seconds
  Acceleration scaling factor: 0x00 = +/-2g
  Disable events bit: 00 (all enabled)
        Bit 1 disable reporting for movement stopped = 0
        Bit 0 disable reporting for movement started = 0</t>
  </si>
  <si>
    <t>19018F0002020000</t>
  </si>
  <si>
    <t>Config Type : Report on change 0x01
Periodic Reporting: 0x8F = 15 Minutes
    Minutes = 0b1
    15 = 0b000 1111
Restoral margin: 0x00 = disabled 
Temperature increase: 0x02 = 2 deg C
Temperature decrease: 0x02 = 2 deg C</t>
  </si>
  <si>
    <t>0800502800000000</t>
  </si>
  <si>
    <t>Enable water present message: Yes
Enable water not present message: Yes
Threshold of relative resistance between probes: 0x50 = 80
Restoral margin in units of relative resistance between probes: 0x28 = 40</t>
  </si>
  <si>
    <t>0D018F0002020505</t>
  </si>
  <si>
    <t>Config Type : Report on change 0x01
Periodic Reporting: 0x8F = 15 Minutes
    Minutes = 0b1
    15 = 0b000 1111
Restoral margin: 0x00 = disabled 
Temperature increase: 0x02 = 2 deg C
Temperature decrease: 0x02 = 2 deg C
Humidity increase: 0x05 = 5%
Humidity decrease: 0x05 = 5%</t>
  </si>
  <si>
    <t>0700000000000000</t>
  </si>
  <si>
    <t>CON</t>
  </si>
  <si>
    <t xml:space="preserve">    Disable event flags: 0x00  (all enabled)
        Disable contact open events: False
        Disable contact closed events: False
    Shorted hold time: 0x0000 = 0 Sec
    Open hold time: 0x0000 = 0 Sec</t>
  </si>
  <si>
    <t>0600020000000000</t>
  </si>
  <si>
    <t>304</t>
  </si>
  <si>
    <t>EB01000000000000</t>
  </si>
  <si>
    <t>1400000A03E804B0</t>
  </si>
  <si>
    <t>1400000A03E804B0
14  Voltmeter
  00 Threshold
    00 Periodic disabled
      0A Restoral margin 0.1V
          03E8 Lower threshold 10V
                 04B0 Upper  threshold 12V</t>
  </si>
  <si>
    <t>Do not resort, leave sorted by Desc ascending</t>
  </si>
  <si>
    <t>Bytes</t>
  </si>
  <si>
    <t>Description</t>
  </si>
  <si>
    <t>Data1</t>
  </si>
  <si>
    <t>Data2</t>
  </si>
  <si>
    <t>Data3</t>
  </si>
  <si>
    <t>Data4</t>
  </si>
  <si>
    <t>Data5</t>
  </si>
  <si>
    <t>Data6</t>
  </si>
  <si>
    <t>Data7</t>
  </si>
  <si>
    <t>4-20mA Current Loop Sensor Configuration</t>
  </si>
  <si>
    <t>Reporting mode (00 Threshold, 01 Report on change)</t>
  </si>
  <si>
    <t>Periodic reporting bits(7 {Hrs 0, Min 1}, 6-0 Value from 1-127) Value of 0 disables.</t>
  </si>
  <si>
    <t>Restoral margin (Threshold mode only) 10mA-2.55A  with 0 disables.</t>
  </si>
  <si>
    <t>Lower analog measurement threshold, upper byte (Threshold Mode)
Analog measurement increase (Report on Change Mode)</t>
  </si>
  <si>
    <t>Upper analog measurement threshold, upper byte (Threshold Mode)
Analog measurement decrease (Report on Change Mode)</t>
  </si>
  <si>
    <t>Accelerometer-based Motion Sensor Configuration</t>
  </si>
  <si>
    <t>Acceleration change threshold (0-127)</t>
  </si>
  <si>
    <t>Settling time (in 250mS units) 0-255</t>
  </si>
  <si>
    <t>Acceleration scaling factor (00 2g, 01 4g, 02 8g, 03 16g)</t>
  </si>
  <si>
    <t>Disable events Bit(7-2 Unused, 1 disable reporting for movement stopped, 0 disable reporting for movement started)</t>
  </si>
  <si>
    <t>ADR Advanced Configuration (Firmware 3.0 or newer)</t>
  </si>
  <si>
    <t>ADR ACK limit when in unconfirmed mode</t>
  </si>
  <si>
    <t>ADR ACK delay when in unconfirmed mode</t>
  </si>
  <si>
    <t>ADR ACK limit when in confirmed mode</t>
  </si>
  <si>
    <t>ADR ACK delay when in confirmed mode</t>
  </si>
  <si>
    <t>Advanced Configuration</t>
  </si>
  <si>
    <t>Rate limit 1-255, 0 disables</t>
  </si>
  <si>
    <t>Link quality check period, bits(7 {Hrs 0, Min 1}, 6-0 Value from 1-127) Value of 0 disables.</t>
  </si>
  <si>
    <t>Sampling period
bit2, 0: Leave Pressure Sampling Period Unchanged
1: Update Pressure Sampling Period
bit1,0: Leave CO2 Sampling Period Unchanged
1: Update CO2 Sampling Period
bit0,0: Leave ATH Sampling Period Unchanged
1: Update ATH Sampling Period</t>
  </si>
  <si>
    <t>ATH sampling period
Bit7, 0: Interval Unit in Hours /1: Minutes
Bits6-0, 0: Disable Periodic Sampling
1-127: Interval</t>
  </si>
  <si>
    <t>CO2 sampling period
Bit7, 0: Interval Unit in Hours /1: Minutes
Bits6-0, 0: Disable Periodic Sampling
1-127: Interval</t>
  </si>
  <si>
    <t>Pressure sampling period
Bit7, 0: Interval Unit in Hours /1: Minutes
Bits6-0, 0: Disable Periodic Sampling
1-127: Interval</t>
  </si>
  <si>
    <t>Bits7-0, 1-127: Port Number</t>
  </si>
  <si>
    <t>Link Quality Period
Bit7, 0: Period Interval in Hours / 1: Minutes
Bits6-0, 0: Disable Link Quality Message
1-127: Interval</t>
  </si>
  <si>
    <t>Link Quality attempts 0-255</t>
  </si>
  <si>
    <t>Unconfirmed ADR ACK Limit
1-127</t>
  </si>
  <si>
    <t>Unconfirmed ADR ACK Delay
1-127</t>
  </si>
  <si>
    <t>Confirmed ADR ACK Limit
1-127</t>
  </si>
  <si>
    <t>Confirmed ADR ACK Delay
1-127</t>
  </si>
  <si>
    <t>Bits7-1, Reserved
Bit0, 0: Disable RoC Reporting
1: Enable RoC Reporting</t>
  </si>
  <si>
    <t xml:space="preserve">Temperature Decrease
0-255 (C) </t>
  </si>
  <si>
    <t xml:space="preserve">Temperature Increase
0-255 (C) </t>
  </si>
  <si>
    <t xml:space="preserve">Humidity Decrease
0-255 (%) </t>
  </si>
  <si>
    <t xml:space="preserve">Humidity Increase
0-255 (%) </t>
  </si>
  <si>
    <t>Bits7-1, Reserved
Bit0, 0: Disable Threshold Reporting
1: Enable Threshold Reporting</t>
  </si>
  <si>
    <t xml:space="preserve">Temperature restoral margin
0-255 (C) </t>
  </si>
  <si>
    <t xml:space="preserve">Absolute Temp for Lower Threshold
0-255 (C) </t>
  </si>
  <si>
    <t xml:space="preserve">Absolute Temp for Upper Threshold
0-255 (C) </t>
  </si>
  <si>
    <t xml:space="preserve">Humidity restoral margin
0-255 (C) </t>
  </si>
  <si>
    <t xml:space="preserve">Absolute Humidity for Lower Threshold
0-255 (%) </t>
  </si>
  <si>
    <t xml:space="preserve">Absolute Humidity for Upper Threshold
0-255 (%) </t>
  </si>
  <si>
    <t>Air Temp and Humidity Sensor Configuration</t>
  </si>
  <si>
    <t>Restoral margin (Threshold mode only) 1-15  with 0 disables.</t>
  </si>
  <si>
    <t>Absolute Temperature for Lower Threshold (Threshold Mode) or Relative Temperature Increase (Report on Change Mode)</t>
  </si>
  <si>
    <t>Absolute Temperature for Upper Threshold (Threshold Mode) or Relative Temperature Decrease (Report on Change Mode)</t>
  </si>
  <si>
    <t>Absolute Humidity for Lower Threshold (Threshold Mode) or Relative Humidity Increase (Report on Change Mode)</t>
  </si>
  <si>
    <t>Absolute Humidity for Upper Threshold (Threshold Mode) or Relative Humidity Decrease (Report on Change Mode)</t>
  </si>
  <si>
    <t>CO2 Decrease
0-65535 PPM</t>
  </si>
  <si>
    <t>CO2 Increase
0-65535 PPM</t>
  </si>
  <si>
    <t>CO2 Threshold config
Bits7-1, Reserved
Bit0, 0: Disable Threshold Reporting
1: Enable Threshold Reporting</t>
  </si>
  <si>
    <t>Expected CO2 value
0-65535 PPM</t>
  </si>
  <si>
    <t>CO2 Lower limit
0-65535 PPM</t>
  </si>
  <si>
    <t>CO2 Upper limit
0-65535 PPM</t>
  </si>
  <si>
    <t>Report current sensor configurations</t>
  </si>
  <si>
    <t>01 = discard backlog</t>
  </si>
  <si>
    <t>Door/Window Sensor Configuration</t>
  </si>
  <si>
    <t>All events (00 enable, 01 disable)</t>
  </si>
  <si>
    <t>Open hold time (in 250mS units) 0-65535</t>
  </si>
  <si>
    <t>Closed hold time (in 250mS units) 0-65535</t>
  </si>
  <si>
    <t>Dry Contact Sensor Configuration</t>
  </si>
  <si>
    <t>Disable events Bit(7-2 Unused, 1 disable contact open events, 0 disable contact closed events)</t>
  </si>
  <si>
    <t>Shorted hold time (in 250mS units) 0-65535</t>
  </si>
  <si>
    <t>General Configuration</t>
  </si>
  <si>
    <t>Radio Config Bit(7 not used, 6 Enable duty cycle req, 5-2 Uplink retries (range 0-8), 1 Use unconfirmed messages =1, 0 Disable ADR =1)</t>
  </si>
  <si>
    <t>Super period bits(7 {Hours=0 ,Min=1}, 6-0 Value from 1-127)</t>
  </si>
  <si>
    <t>Sampling rate (Bits 7-6 Increments of {00 250mS, 01 Sec, 10 Min, 11 Hrs}, 5-0 Value from 1-63)</t>
  </si>
  <si>
    <t>bits5-2, 1-8: Number of Uplink Retries if ACK not received, only for confirmed uplinks
bit1, 0: Confirmed / 1: Unconfirmed Uplinks
bit0, 0: Enable / 1: Disable Adaptive Data Rate</t>
  </si>
  <si>
    <t>bit7, 0: Supervisory period interval in Hours /1: Minutes
bits6-0, 0: Disable Supervisory Message
1-127: Interval</t>
  </si>
  <si>
    <t>Bit 7, 0: Periodic reporting Interval Unit Hours / 1: Minutes
bits 6-0,0: Disable Periodic Reporting
1-127: Interval</t>
  </si>
  <si>
    <t>1C-1F</t>
  </si>
  <si>
    <t>High-bandwidth Vibration Sensor Configuration (channel 1-4)</t>
  </si>
  <si>
    <t>High-precision Tilt Sensor Configuration</t>
  </si>
  <si>
    <t>Hold time, units of 250mS. 0-255. 0 disables</t>
  </si>
  <si>
    <t>Angle for transition from 0 degree vertical integer value (0-180)</t>
  </si>
  <si>
    <t>Angle for transition from 0 degree vertical fractional value (0-??)</t>
  </si>
  <si>
    <t>Angle for transition toward 0 degree vertical integer value (0-180)</t>
  </si>
  <si>
    <t>Angle for transition toward 0 degree vertical fractional value (0-??)</t>
  </si>
  <si>
    <t>Link Quality Configuration (Firmware 3.0 or newer)</t>
  </si>
  <si>
    <t>Number of failed confirmed message transmits before the device does a rejoin. 1-255, 0 disables</t>
  </si>
  <si>
    <t>NoX Decrease
0-65535 PPM</t>
  </si>
  <si>
    <t>NoX Increase
0-65535 PPM</t>
  </si>
  <si>
    <t>Expected NoX value
0-65535 PPM</t>
  </si>
  <si>
    <t>NoX Lower limit
0-65535 PPM</t>
  </si>
  <si>
    <t>NoX Upper limit
0-65535 PPM</t>
  </si>
  <si>
    <t>PM 1.0 Decrease
0-65535 PPM</t>
  </si>
  <si>
    <t>PM 1.0 Increase
0-65535 PPM</t>
  </si>
  <si>
    <t>Expected PM 1.0 value
0-65535 PPM</t>
  </si>
  <si>
    <t>PM 1.0 Lower limit
0-65535 PPM</t>
  </si>
  <si>
    <t>PM 1.0 Upper limit
0-65535 PPM</t>
  </si>
  <si>
    <t>PM 10.0 Decrease
0-65535 PPM</t>
  </si>
  <si>
    <t>PM 10.0 Increase
0-65535 PPM</t>
  </si>
  <si>
    <t>Expected PM 10.0 value
0-65535 PPM</t>
  </si>
  <si>
    <t>PM 10.0 Lower limit
0-65535 PPM</t>
  </si>
  <si>
    <t>PM 10.0 Upper limit
0-65535 PPM</t>
  </si>
  <si>
    <t>PM 2.5 Decrease
0-65535 PPM</t>
  </si>
  <si>
    <t>PM 2.5 Increase
0-65535 PPM</t>
  </si>
  <si>
    <t>Expected PM 2.5 value
0-65535 PPM</t>
  </si>
  <si>
    <t>PM 2.5 Lower limit
0-65535 PPM</t>
  </si>
  <si>
    <t>PM 2.5 Upper limit
0-65535 PPM</t>
  </si>
  <si>
    <t>PM 4.0 Decrease
0-65535 PPM</t>
  </si>
  <si>
    <t>PM 4.0 Increase
0-65535 PPM</t>
  </si>
  <si>
    <t>Expected PM 4.0 value
0-65535 PPM</t>
  </si>
  <si>
    <t>PM 4.0 Lower limit
0-65535 PPM</t>
  </si>
  <si>
    <t>PM 4.0 Upper limit
0-65535 PPM</t>
  </si>
  <si>
    <t>Reporting period
Bit7, 0: Interval Unit in Hours /1: Minutes
Bits6-0, 0: Disable Periodic Sampling
1-127: Interval</t>
  </si>
  <si>
    <t>Threshold sample size (multiples of 10)</t>
  </si>
  <si>
    <t>Restoral margin (pps)</t>
  </si>
  <si>
    <t>Overspeed threshold (pps)</t>
  </si>
  <si>
    <t>Underspeed threshold (pps)</t>
  </si>
  <si>
    <t>Too-long time
Bit7, 0= Seconds 1=Minutes
Bits 6-0, Length</t>
  </si>
  <si>
    <t>Push Button Sensor Configuration</t>
  </si>
  <si>
    <t>Disable events Bit(7-3 Unused, 2 Disable hold, 1 disable released, 0 disable pressed)</t>
  </si>
  <si>
    <t>Hold delay (in 250mS units) 0-20</t>
  </si>
  <si>
    <t>LED config bits(7-3 unused, 2 disable blink on confirmed, 1 Disable blink on send, 0 Disable LED on when pressed)</t>
  </si>
  <si>
    <t>Bits 7-3 Reserved
2 Enable discard packets flag
1 Enable important messages flag
0 Enable retain subband flag</t>
  </si>
  <si>
    <t>Subband retries</t>
  </si>
  <si>
    <t>Reserved</t>
  </si>
  <si>
    <t>Shake to send events (00 disable, 01 enable)</t>
  </si>
  <si>
    <t>Scaling factor (00 2g, 01 4g, 02 8g, 03 16g)</t>
  </si>
  <si>
    <t>Motion threshold (0-127)</t>
  </si>
  <si>
    <t>Settling time units of 250mS (0-255)</t>
  </si>
  <si>
    <t>Restoral margin (Threshold mode only) 1-15 C with 0 disables.</t>
  </si>
  <si>
    <t>Thermocouple Temperature Sensor Configuration</t>
  </si>
  <si>
    <t>Reporting mode 
Bits 7-5 unused 
bits 4-1(0000 B Type, 0001 E Type, 0010 J Type, 0011 K Type, 0100 N Type, 0101 R Type, 0110 S Type, 0111 T Type, 1000 Voltage mode Gain=8, Code=8x1.6x217xVIN, 1100 Voltage mode Gain=32, Code=32x1.6x217xVIN) 
bit 0 (0 Threshold, 1 Report on change)</t>
  </si>
  <si>
    <t>Restoral margin (Threshold mode only) 1-255  with 0 disables.</t>
  </si>
  <si>
    <t>Upper temperature threshold. Default 90 degrees C (Threshold Mode). Temperature increase (Report on Change Mode)</t>
  </si>
  <si>
    <t>Lower temperature threshold. Default 90 degrees C (Threshold Mode). Temperature decrease (Report on Change Mode)</t>
  </si>
  <si>
    <t>Tilt Sensor Configuration</t>
  </si>
  <si>
    <t>Disable events Bit(7-4 Unused, 3 Disable report on change toward vert, 2 Disable report on change toward horiz, 1 disable transitions to vert, 0 disable transitions to horiz)</t>
  </si>
  <si>
    <t>Angle for transition to Horiz (0-90)</t>
  </si>
  <si>
    <t>Angle for transition to Vert (0-90)</t>
  </si>
  <si>
    <t>Vertical hold time, units of 250mS. 0-255. 0 disables</t>
  </si>
  <si>
    <t>Horizontal hold time, units of 250mS. 0-255. 0 disables</t>
  </si>
  <si>
    <t>Report on change towards vertical (5-90) 0-4 disables</t>
  </si>
  <si>
    <t>Report on change towards horizontal (5-90) 0-4 disables</t>
  </si>
  <si>
    <t>Ultrasonic Distance Sensor Configuration</t>
  </si>
  <si>
    <t>Hold time bits(7 {Min 0, Sec 1}, 6-0 Value from 1-127) Value of 0 disables.</t>
  </si>
  <si>
    <t>Lower distance threshold in mm, upper byte. Default 100mm (Threshold Mode)
Distance increase in mm, upper byte (Report on Change Mode)</t>
  </si>
  <si>
    <t>Lower distance threshold in mm, lower byte. Default 100mm (Threshold Mode)
Distance increase in mm, lower byte (Report on Change Mode)</t>
  </si>
  <si>
    <t>Upper distance threshold in mm, upper byte. Default 100mm (Threshold Mode)
Distance increase in mm, upper byte (Report on Change Mode)</t>
  </si>
  <si>
    <t>Upper distance threshold in mm, lower byte. Default 100mm (Threshold Mode)
Distance increase in mm, lower byte (Report on Change Mode)</t>
  </si>
  <si>
    <t>VOC Decrease
0-65535 PPM</t>
  </si>
  <si>
    <t>VOC Increase
0-65535 PPM</t>
  </si>
  <si>
    <t>Expected VOC value
0-65535 PPM</t>
  </si>
  <si>
    <t>VOC Lower limit
0-65535 PPM</t>
  </si>
  <si>
    <t>VOC Upper limit
0-65535 PPM</t>
  </si>
  <si>
    <t>Voltmeter Sensor Configuration</t>
  </si>
  <si>
    <t>Restoral margin (Threshold mode only) 10mV-2.55V  with 0 disables.</t>
  </si>
  <si>
    <t>Water Sensor Configuration</t>
  </si>
  <si>
    <t>Disable events Bit(7-2 Unused, 1 disable water not present events, 0 disable water present events)</t>
  </si>
  <si>
    <t>Data</t>
  </si>
  <si>
    <t>Packet ID</t>
  </si>
  <si>
    <t>Amp-Hour Accumulation</t>
  </si>
  <si>
    <t>Amps-RMS-Avg</t>
  </si>
  <si>
    <t>Max Scalar</t>
  </si>
  <si>
    <t>Min Scalar</t>
  </si>
  <si>
    <t>Cap voltage scalar</t>
  </si>
  <si>
    <t>Temp scalar</t>
  </si>
  <si>
    <t>Bit Breakdown</t>
  </si>
  <si>
    <t>dAh</t>
  </si>
  <si>
    <t>dA</t>
  </si>
  <si>
    <t>PID</t>
  </si>
  <si>
    <t>Amp-Hour accumulation</t>
  </si>
  <si>
    <t>Amps RMS</t>
  </si>
  <si>
    <t>Max</t>
  </si>
  <si>
    <t>Min</t>
  </si>
  <si>
    <t>CapV</t>
  </si>
  <si>
    <t>Message info</t>
  </si>
  <si>
    <t>Effective SW version</t>
  </si>
  <si>
    <t>Change</t>
  </si>
  <si>
    <t>Uplink</t>
  </si>
  <si>
    <t>Reset message, FW version</t>
  </si>
  <si>
    <t>2.0</t>
  </si>
  <si>
    <t>Human-readable in firmware versions prior to 2.0, where 0x0103 would represent version 1.3. From 2.0 onward, the firmware version is formatted as a three digit version number</t>
  </si>
  <si>
    <t>Downlink</t>
  </si>
  <si>
    <t>General config, Radio config</t>
  </si>
  <si>
    <t>2.2.1</t>
  </si>
  <si>
    <t>Bit 6: Enable duty cycle requirement (LoRaWAN EU868 only). Set the enable duty cycle requirement to enforce the EU868 band duty cycle requirements. Default is clear / disabled. It is required to enable this prior to production deployment. Available in firmware 2.2.1 or later.</t>
  </si>
  <si>
    <t>1.4</t>
  </si>
  <si>
    <t>Number of uplink retries if ACK not received on confirmed uplink.
The range for uplink retries is 1-8 for confirmed messages (ack
required) and does not apply to unconfirmed messages. Default 0
(leave unchanged). Available in firmware v1.4 and above.</t>
  </si>
  <si>
    <t>Use unconfirmed messages. If the use unconfirmed messages bit is
set, the sensor will not look for an ack from the network server.
Default is 1 (unconfirmed messages, no acks required). EU sensors
cannot use confirmed messages, and thus setting this bit to 0 on an
EU device will result in an error. Available in firmware v1.4 and
above.</t>
  </si>
  <si>
    <t>1.3</t>
  </si>
  <si>
    <t xml:space="preserve">Disable Adaptive Data Rate. Set the disable adaptive data rate bit to
disable ADR, clear to enable ADR. Default is 0 (enabled). Available in
firmware v1.3 and above. </t>
  </si>
  <si>
    <t>Advanced config, Port number</t>
  </si>
  <si>
    <t>Port Number. Changes the uplink port per the LoRaWAN protocol. The default port is 2, and a value of 0 in this field means to leave it at the default. This feature is available in firmware v1.4 and above.</t>
  </si>
  <si>
    <t>Advanced config, Link quality check</t>
  </si>
  <si>
    <t>Link Quality Check Period. Setting this register causes the device to “ping” the network server on a periodic basis with a requested ack to ensure the device is still connected. This is implemented as a confirmed message containing connectivity info, and is typically used in conjunction with unconfirmed messages. In other words, while running with unconfirmed messages, this feature will create a periodic confirmed message and look for the ack to ensure connectivity. A value of 0x00 means disable the connectivity period feature. Available in firmware v2.0 and above. The Link Quality period in byte 2 is defined in the following table.</t>
  </si>
  <si>
    <t>Pulse count [36:0]</t>
  </si>
  <si>
    <t>Threshold sample size (groups of 5)</t>
  </si>
  <si>
    <t>140422333444444444</t>
  </si>
  <si>
    <t>Debounce Delay</t>
  </si>
  <si>
    <t>Debounce delay (increments of 5mS, 0 = leave unchanged)</t>
  </si>
  <si>
    <t>04ffffffffffffffffffff</t>
  </si>
  <si>
    <t>0-2550</t>
  </si>
  <si>
    <t>0-1275</t>
  </si>
  <si>
    <t>0-75</t>
  </si>
  <si>
    <t>15060301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</si>
</sst>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theme="2" tint="-9.9978637043366805E-2"/>
      <name val="Calibri"/>
      <family val="2"/>
      <scheme val="minor"/>
    </font>
    <font>
      <b/>
      <sz val="9"/>
      <color indexed="81"/>
      <name val="Tahoma"/>
      <family val="2"/>
    </font>
    <font>
      <sz val="4"/>
      <color theme="0"/>
      <name val="Calibri"/>
      <family val="2"/>
      <scheme val="minor"/>
    </font>
    <font>
      <sz val="11"/>
      <color rgb="FF212529"/>
      <name val="Montserrat-Light"/>
      <family val="1"/>
      <charset val="1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9" fontId="0" fillId="3" borderId="0" xfId="0" applyNumberFormat="1" applyFill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49" fontId="0" fillId="6" borderId="0" xfId="0" applyNumberFormat="1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left" vertical="top" wrapText="1"/>
    </xf>
    <xf numFmtId="164" fontId="0" fillId="0" borderId="0" xfId="0" applyNumberFormat="1" applyAlignment="1">
      <alignment horizontal="center"/>
    </xf>
    <xf numFmtId="0" fontId="0" fillId="8" borderId="1" xfId="0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left" vertical="top"/>
    </xf>
    <xf numFmtId="0" fontId="0" fillId="0" borderId="0" xfId="0" quotePrefix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5" fillId="9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0" fillId="10" borderId="1" xfId="0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49" fontId="3" fillId="11" borderId="1" xfId="0" applyNumberFormat="1" applyFont="1" applyFill="1" applyBorder="1" applyAlignment="1">
      <alignment horizontal="left"/>
    </xf>
    <xf numFmtId="0" fontId="0" fillId="10" borderId="1" xfId="0" quotePrefix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2" borderId="0" xfId="0" applyFill="1" applyAlignment="1">
      <alignment horizontal="left"/>
    </xf>
    <xf numFmtId="0" fontId="3" fillId="13" borderId="2" xfId="0" applyFont="1" applyFill="1" applyBorder="1" applyAlignment="1">
      <alignment horizontal="left"/>
    </xf>
    <xf numFmtId="49" fontId="0" fillId="0" borderId="1" xfId="0" quotePrefix="1" applyNumberFormat="1" applyBorder="1" applyAlignment="1">
      <alignment horizontal="left"/>
    </xf>
    <xf numFmtId="0" fontId="3" fillId="13" borderId="2" xfId="0" applyFont="1" applyFill="1" applyBorder="1" applyAlignment="1" applyProtection="1">
      <alignment horizontal="left"/>
      <protection locked="0"/>
    </xf>
    <xf numFmtId="0" fontId="3" fillId="13" borderId="0" xfId="0" applyFont="1" applyFill="1" applyAlignment="1" applyProtection="1">
      <alignment horizontal="left"/>
      <protection locked="0"/>
    </xf>
    <xf numFmtId="0" fontId="0" fillId="12" borderId="0" xfId="0" applyFill="1" applyAlignment="1" applyProtection="1">
      <alignment horizontal="left"/>
      <protection locked="0"/>
    </xf>
    <xf numFmtId="49" fontId="0" fillId="10" borderId="1" xfId="0" applyNumberFormat="1" applyFill="1" applyBorder="1" applyAlignment="1">
      <alignment horizontal="left"/>
    </xf>
    <xf numFmtId="49" fontId="0" fillId="0" borderId="1" xfId="0" applyNumberFormat="1" applyBorder="1" applyAlignment="1" applyProtection="1">
      <alignment horizontal="left"/>
      <protection locked="0"/>
    </xf>
    <xf numFmtId="0" fontId="3" fillId="13" borderId="2" xfId="0" applyFont="1" applyFill="1" applyBorder="1" applyAlignment="1" applyProtection="1">
      <alignment horizontal="left" wrapText="1"/>
      <protection locked="0"/>
    </xf>
    <xf numFmtId="0" fontId="5" fillId="9" borderId="3" xfId="0" applyFont="1" applyFill="1" applyBorder="1" applyAlignment="1">
      <alignment horizontal="left" wrapText="1"/>
    </xf>
    <xf numFmtId="0" fontId="5" fillId="9" borderId="2" xfId="0" applyFont="1" applyFill="1" applyBorder="1" applyAlignment="1">
      <alignment horizontal="left" wrapText="1"/>
    </xf>
    <xf numFmtId="0" fontId="6" fillId="9" borderId="4" xfId="0" applyFont="1" applyFill="1" applyBorder="1" applyAlignment="1">
      <alignment horizontal="left" wrapText="1"/>
    </xf>
    <xf numFmtId="0" fontId="5" fillId="10" borderId="5" xfId="0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12" borderId="2" xfId="0" applyFill="1" applyBorder="1" applyAlignment="1">
      <alignment horizontal="left" wrapText="1"/>
    </xf>
    <xf numFmtId="0" fontId="8" fillId="12" borderId="4" xfId="0" applyFont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49" fontId="0" fillId="0" borderId="6" xfId="0" applyNumberFormat="1" applyBorder="1"/>
    <xf numFmtId="49" fontId="0" fillId="0" borderId="7" xfId="0" applyNumberFormat="1" applyBorder="1"/>
    <xf numFmtId="49" fontId="0" fillId="0" borderId="0" xfId="0" quotePrefix="1" applyNumberFormat="1" applyAlignment="1">
      <alignment horizontal="left" vertical="top" wrapText="1"/>
    </xf>
    <xf numFmtId="49" fontId="0" fillId="0" borderId="3" xfId="0" applyNumberFormat="1" applyBorder="1" applyAlignment="1" applyProtection="1">
      <alignment horizontal="left"/>
      <protection locked="0"/>
    </xf>
    <xf numFmtId="49" fontId="0" fillId="0" borderId="0" xfId="0" applyNumberFormat="1" applyAlignment="1">
      <alignment horizontal="left"/>
    </xf>
    <xf numFmtId="49" fontId="0" fillId="12" borderId="0" xfId="0" applyNumberFormat="1" applyFill="1" applyAlignment="1">
      <alignment horizontal="left"/>
    </xf>
    <xf numFmtId="49" fontId="0" fillId="7" borderId="0" xfId="0" applyNumberFormat="1" applyFill="1" applyAlignment="1">
      <alignment horizontal="left"/>
    </xf>
    <xf numFmtId="2" fontId="0" fillId="0" borderId="0" xfId="0" applyNumberFormat="1"/>
    <xf numFmtId="0" fontId="0" fillId="0" borderId="1" xfId="0" applyBorder="1"/>
    <xf numFmtId="0" fontId="3" fillId="13" borderId="1" xfId="0" applyFont="1" applyFill="1" applyBorder="1" applyAlignment="1" applyProtection="1">
      <alignment horizontal="left"/>
      <protection locked="0"/>
    </xf>
    <xf numFmtId="0" fontId="0" fillId="12" borderId="5" xfId="0" applyFill="1" applyBorder="1" applyAlignment="1">
      <alignment horizontal="left"/>
    </xf>
    <xf numFmtId="0" fontId="0" fillId="10" borderId="0" xfId="0" applyFill="1"/>
    <xf numFmtId="2" fontId="0" fillId="10" borderId="0" xfId="0" applyNumberFormat="1" applyFill="1"/>
    <xf numFmtId="0" fontId="0" fillId="7" borderId="0" xfId="0" applyFill="1"/>
    <xf numFmtId="0" fontId="9" fillId="0" borderId="0" xfId="0" applyFont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Normal" xfId="0" builtinId="0"/>
    <cellStyle name="Normal 2" xfId="1" xr:uid="{5B6AA2C2-E653-4C2C-BEDE-84AEFBCF9900}"/>
  </cellStyles>
  <dxfs count="53">
    <dxf>
      <numFmt numFmtId="30" formatCode="@"/>
      <fill>
        <patternFill>
          <bgColor theme="0"/>
        </patternFill>
      </fill>
      <border>
        <left/>
        <right/>
        <top/>
        <bottom/>
        <vertical/>
        <horizontal/>
      </border>
    </dxf>
    <dxf>
      <numFmt numFmtId="30" formatCode="@"/>
      <fill>
        <patternFill>
          <bgColor theme="0"/>
        </patternFill>
      </fill>
      <border>
        <left/>
        <right/>
        <top/>
        <bottom/>
        <vertical/>
        <horizontal/>
      </border>
    </dxf>
    <dxf>
      <numFmt numFmtId="30" formatCode="@"/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2" tint="-0.249977111117893"/>
        </patternFill>
      </fill>
    </dxf>
    <dxf>
      <numFmt numFmtId="2" formatCode="0.00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rgb="FFFFC000"/>
        </patternFill>
      </fill>
    </dxf>
    <dxf>
      <alignment horizontal="general" vertical="bottom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70DF9-0FD4-4E30-B47F-806E553864DD}" name="ULMessages" displayName="ULMessages" ref="A1:P37" totalsRowShown="0">
  <autoFilter ref="A1:P37" xr:uid="{3BE70DF9-0FD4-4E30-B47F-806E553864DD}"/>
  <sortState xmlns:xlrd2="http://schemas.microsoft.com/office/spreadsheetml/2017/richdata2" ref="A2:P36">
    <sortCondition ref="A1:A36"/>
  </sortState>
  <tableColumns count="16">
    <tableColumn id="1" xr3:uid="{D170C2C6-9D2A-4E42-A281-049BFB0D43B5}" name="Value" dataDxfId="52"/>
    <tableColumn id="2" xr3:uid="{3C8D7531-78F4-4F11-844A-8121F5E71997}" name="Type"/>
    <tableColumn id="5" xr3:uid="{58C4B404-3DDC-4961-A269-3F0ECECBC68E}" name="Info1"/>
    <tableColumn id="6" xr3:uid="{64F29FCB-FB0A-4ABE-9C80-2B866C316F39}" name="Bits1"/>
    <tableColumn id="7" xr3:uid="{9130E5BD-519C-477E-88C5-29FE8C7E1F99}" name="Info2"/>
    <tableColumn id="8" xr3:uid="{104CB81D-5F2F-4E08-AC38-7CF71FD0FC42}" name="Bits2"/>
    <tableColumn id="9" xr3:uid="{EEA5F8AE-531A-49A5-9196-6221C44B5EBB}" name="Info3"/>
    <tableColumn id="10" xr3:uid="{2353B1F9-1932-4D86-BADE-A5A79EF848AC}" name="Bits3"/>
    <tableColumn id="11" xr3:uid="{47A90325-87E6-4211-9AB3-6B0F3D24C6D0}" name="Info4"/>
    <tableColumn id="12" xr3:uid="{3DCFD99E-6357-47DD-A562-7ADE98AEF86C}" name="Bits4"/>
    <tableColumn id="13" xr3:uid="{3C6FCC2A-07F9-48BE-B6CA-C170CD6BA6E9}" name="Info5"/>
    <tableColumn id="14" xr3:uid="{E9EFE28C-D5D9-4AB0-A9F2-DF1B2775CDB1}" name="Bits5"/>
    <tableColumn id="15" xr3:uid="{8CB6AF02-4027-4CCB-B012-0663952A89EF}" name="Info6"/>
    <tableColumn id="3" xr3:uid="{2E760626-B96C-430D-9A27-B8F623351888}" name="Bits6"/>
    <tableColumn id="4" xr3:uid="{09EB70CB-5842-488C-826F-F0BFFF794BC0}" name="Info7"/>
    <tableColumn id="16" xr3:uid="{D4CEBDB3-ABC0-4481-B116-52454BFDE40E}" name="Bits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817166-C989-479A-8CFC-6618511B8FD5}" name="DeviceType" displayName="DeviceType" ref="A42:B78" totalsRowShown="0" headerRowDxfId="51" dataDxfId="50">
  <autoFilter ref="A42:B78" xr:uid="{39817166-C989-479A-8CFC-6618511B8FD5}"/>
  <tableColumns count="2">
    <tableColumn id="1" xr3:uid="{D14D7295-95D9-44F0-BC43-1D3BC98619CE}" name="case" dataDxfId="49"/>
    <tableColumn id="2" xr3:uid="{4A9F5E0D-1D82-4075-873D-83CEB0164142}" name="DEVICE_TYPE in Reset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B95D46-57C9-478D-BF85-92C7403596E9}" name="Table5" displayName="Table5" ref="A17:D38" totalsRowShown="0">
  <autoFilter ref="A17:D38" xr:uid="{C8B95D46-57C9-478D-BF85-92C7403596E9}"/>
  <sortState xmlns:xlrd2="http://schemas.microsoft.com/office/spreadsheetml/2017/richdata2" ref="A18:D24">
    <sortCondition ref="B17:B24"/>
  </sortState>
  <tableColumns count="4">
    <tableColumn id="1" xr3:uid="{75D01ABD-D0B9-4B28-9A5F-4DA116A3DCE0}" name="Value" dataDxfId="47"/>
    <tableColumn id="2" xr3:uid="{97819635-8138-49CE-9938-762E2104C8E6}" name="Type" dataDxfId="46"/>
    <tableColumn id="3" xr3:uid="{89361C91-966F-466E-B600-F21529423EA9}" name="Console text" dataDxfId="45"/>
    <tableColumn id="4" xr3:uid="{AAF64E3B-C2C3-4953-93B2-3B2A1A4ACC68}" name="Verifi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9C5373-540E-4839-A16F-5BBAEC30D385}" name="DLMessages" displayName="DLMessages" ref="A2:X46" totalsRowShown="0" headerRowDxfId="44" dataDxfId="43">
  <autoFilter ref="A2:X46" xr:uid="{E49C5373-540E-4839-A16F-5BBAEC30D385}"/>
  <sortState xmlns:xlrd2="http://schemas.microsoft.com/office/spreadsheetml/2017/richdata2" ref="A3:X46">
    <sortCondition ref="C2:C46"/>
  </sortState>
  <tableColumns count="24">
    <tableColumn id="1" xr3:uid="{03D429AC-B4D1-4825-A86C-91A7939012D4}" name="Type" dataDxfId="42"/>
    <tableColumn id="2" xr3:uid="{952AABA6-7DB5-4157-BC22-FB0B31F5DC2B}" name="Bytes" dataDxfId="41"/>
    <tableColumn id="3" xr3:uid="{7A6EBBF9-409D-4D83-9F49-E7910969FC49}" name="Description" dataDxfId="40"/>
    <tableColumn id="5" xr3:uid="{F8B50DAF-36D8-45D6-9B0B-654F624C2717}" name="Bits1" dataDxfId="39"/>
    <tableColumn id="4" xr3:uid="{2A3176A1-BB0F-4FA7-90EF-C6BA1A3D73D2}" name="Info1" dataDxfId="38"/>
    <tableColumn id="7" xr3:uid="{BA5B6425-18BB-4AE7-9BF3-8CB353D29922}" name="Bits2" dataDxfId="37"/>
    <tableColumn id="6" xr3:uid="{10B2565C-4FAC-425E-95F1-9AB0D552BA18}" name="Info2" dataDxfId="36"/>
    <tableColumn id="8" xr3:uid="{1E177452-29B2-405E-BEBE-3DC09A88B959}" name="Bits3" dataDxfId="35"/>
    <tableColumn id="9" xr3:uid="{1DEFE970-F925-4445-9D3D-B105E3848123}" name="Info3" dataDxfId="34"/>
    <tableColumn id="10" xr3:uid="{10351229-EE54-4D32-B7FF-B08010C0F550}" name="Bits4" dataDxfId="33"/>
    <tableColumn id="11" xr3:uid="{1EB4C297-47C0-48BF-BD09-85DD77AF0326}" name="Info4" dataDxfId="32"/>
    <tableColumn id="12" xr3:uid="{461DD46E-2B84-446A-A40F-A927D5D08575}" name="Bits5" dataDxfId="31"/>
    <tableColumn id="13" xr3:uid="{90F17E1D-AF06-445D-991D-EAD8534ADEE2}" name="Info5" dataDxfId="30"/>
    <tableColumn id="14" xr3:uid="{9427C467-7CB9-46C3-BB58-A2020C99CFA9}" name="Bits6" dataDxfId="29"/>
    <tableColumn id="15" xr3:uid="{C38C0DAF-BF5A-4248-A237-CEB3CA4675CA}" name="Info6" dataDxfId="28"/>
    <tableColumn id="16" xr3:uid="{79898567-A272-4E07-AFD2-685EBB81EBC9}" name="Bits7" dataDxfId="27"/>
    <tableColumn id="17" xr3:uid="{A1553C9D-A587-4AEF-81E0-D29C263C1D60}" name="Info7" dataDxfId="26"/>
    <tableColumn id="18" xr3:uid="{1FBA6AD5-5ABB-44F9-81AB-112933BE04D6}" name="Data1" dataDxfId="25"/>
    <tableColumn id="19" xr3:uid="{B6A140EF-527D-4E1E-9FBB-08E1C2FE2074}" name="Data2" dataDxfId="24"/>
    <tableColumn id="20" xr3:uid="{044A8F20-77E6-4E39-BC19-CD2FA63CC2C7}" name="Data3" dataDxfId="23"/>
    <tableColumn id="21" xr3:uid="{893A5F25-24F7-4817-A7D7-F9D27B1853C6}" name="Data4" dataDxfId="22"/>
    <tableColumn id="22" xr3:uid="{A2999B78-C870-4C6D-AF05-E4C1E39EE99A}" name="Data5" dataDxfId="21"/>
    <tableColumn id="23" xr3:uid="{21A5BB46-9EBF-48AD-8DDE-B32498DCAD7B}" name="Data6" dataDxfId="20"/>
    <tableColumn id="24" xr3:uid="{17CAFA41-9254-4372-9BB0-21DFF9FDDB40}" name="Data7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F136C5-DB90-42EF-8D7D-04CDFB50B5EB}" name="Table1" displayName="Table1" ref="A2:H3" totalsRowShown="0" headerRowDxfId="18">
  <autoFilter ref="A2:H3" xr:uid="{9AF7553B-5D2B-4E9C-BE72-A160E7CBF77F}"/>
  <sortState xmlns:xlrd2="http://schemas.microsoft.com/office/spreadsheetml/2017/richdata2" ref="A3:H5">
    <sortCondition ref="A2:A5"/>
  </sortState>
  <tableColumns count="8">
    <tableColumn id="2" xr3:uid="{74F2D1CE-7BDD-46F6-80A4-F6EC6DDB92F3}" name="Data" dataDxfId="17"/>
    <tableColumn id="3" xr3:uid="{3C956467-3C59-43FC-B124-D92252C23BF1}" name="Packet ID" dataDxfId="16">
      <calculatedColumnFormula>HEX2DEC(LEFT(Table1[[#This Row],[Data]],2))</calculatedColumnFormula>
    </tableColumn>
    <tableColumn id="4" xr3:uid="{5C9EDB7D-3F29-45A8-BC1B-62E94ACC8A91}" name="Amp-Hour Accumulation" dataDxfId="15">
      <calculatedColumnFormula>HEX2DEC(MID(Table1[[#This Row],[Data]],3,8))/10</calculatedColumnFormula>
    </tableColumn>
    <tableColumn id="5" xr3:uid="{E0AB9532-F52E-43B4-9136-D0EB00868688}" name="Amps-RMS-Avg" dataDxfId="14">
      <calculatedColumnFormula>HEX2DEC(MID(Table1[[#This Row],[Data]],11,4))/10</calculatedColumnFormula>
    </tableColumn>
    <tableColumn id="6" xr3:uid="{E0BCC36A-57B5-4B36-8C9D-25571734C480}" name="Max Scalar" dataDxfId="13">
      <calculatedColumnFormula>(HEX2DEC(MID(Table1[[#This Row],[Data]],15,2))+100)/100*Table1[[#This Row],[Amps-RMS-Avg]]</calculatedColumnFormula>
    </tableColumn>
    <tableColumn id="7" xr3:uid="{A583385A-7079-4D0F-B89E-207D74BBDBD1}" name="Min Scalar" dataDxfId="12">
      <calculatedColumnFormula>(100-HEX2DEC(MID(Table1[[#This Row],[Data]],17,2)))/100*Table1[[#This Row],[Amps-RMS-Avg]]</calculatedColumnFormula>
    </tableColumn>
    <tableColumn id="8" xr3:uid="{49A414D3-2CB1-4159-993C-C40A0DFF6E96}" name="Cap voltage scalar" dataDxfId="11">
      <calculatedColumnFormula>HEX2DEC(MID(Table1[[#This Row],[Data]],19,2))*5/255</calculatedColumnFormula>
    </tableColumn>
    <tableColumn id="9" xr3:uid="{3A68A4B4-8C16-48F7-8466-A6E1AEBF1B36}" name="Temp scalar" dataDxfId="10">
      <calculatedColumnFormula>HEX2DEC(MID(Table1[[#This Row],[Data]],21,2))*120/255-40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72707A-B810-4549-A7FE-BD8FB69145E6}" name="Table6" displayName="Table6" ref="A1:D8" totalsRowShown="0" headerRowDxfId="9" dataDxfId="8">
  <autoFilter ref="A1:D8" xr:uid="{2D72707A-B810-4549-A7FE-BD8FB69145E6}"/>
  <tableColumns count="4">
    <tableColumn id="1" xr3:uid="{AEC74E6B-1AFC-4749-98A7-157393828CC9}" name="Type" dataDxfId="7"/>
    <tableColumn id="2" xr3:uid="{ED9BD8FD-09CC-4216-89C0-5FE8D61BD946}" name="Message info" dataDxfId="6"/>
    <tableColumn id="3" xr3:uid="{FD0F1997-E138-437C-8B96-32B789AF848D}" name="Effective SW version" dataDxfId="5"/>
    <tableColumn id="4" xr3:uid="{41F8C641-8A3E-4FB9-B723-B76620456CBB}" name="Chang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7FB8-136A-4933-95C9-3C868BAFF7EA}">
  <dimension ref="A1:P47"/>
  <sheetViews>
    <sheetView zoomScaleNormal="100" workbookViewId="0">
      <pane ySplit="1" topLeftCell="A2" activePane="bottomLeft" state="frozen"/>
      <selection pane="bottomLeft" activeCell="C8" sqref="C8"/>
    </sheetView>
  </sheetViews>
  <sheetFormatPr defaultColWidth="19.85546875" defaultRowHeight="15"/>
  <cols>
    <col min="1" max="1" width="8.42578125" style="34" bestFit="1" customWidth="1"/>
    <col min="2" max="2" width="18.7109375" style="39" bestFit="1" customWidth="1"/>
    <col min="3" max="3" width="23.7109375" style="39" bestFit="1" customWidth="1"/>
    <col min="4" max="4" width="7.5703125" style="34" bestFit="1" customWidth="1"/>
    <col min="5" max="5" width="7" style="34" bestFit="1" customWidth="1"/>
    <col min="6" max="6" width="27.5703125" style="34" bestFit="1" customWidth="1"/>
    <col min="7" max="7" width="23.5703125" style="34" bestFit="1" customWidth="1"/>
    <col min="8" max="8" width="25.28515625" style="34" bestFit="1" customWidth="1"/>
    <col min="9" max="9" width="19.7109375" style="34" customWidth="1"/>
    <col min="10" max="10" width="35.140625" style="34" bestFit="1" customWidth="1"/>
    <col min="11" max="11" width="33.5703125" style="34" bestFit="1" customWidth="1"/>
    <col min="12" max="12" width="33.28515625" style="34" bestFit="1" customWidth="1"/>
    <col min="13" max="14" width="25" style="34" bestFit="1" customWidth="1"/>
    <col min="15" max="15" width="22.5703125" style="34" bestFit="1" customWidth="1"/>
    <col min="16" max="16" width="24.7109375" style="34" bestFit="1" customWidth="1"/>
    <col min="17" max="16384" width="19.85546875" style="34"/>
  </cols>
  <sheetData>
    <row r="1" spans="1:16" s="25" customFormat="1">
      <c r="A1" s="24" t="s">
        <v>0</v>
      </c>
      <c r="B1" s="37" t="s">
        <v>1</v>
      </c>
      <c r="C1" s="61" t="s">
        <v>2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>
      <c r="A2" s="62">
        <v>1</v>
      </c>
      <c r="B2" s="44" t="s">
        <v>3</v>
      </c>
      <c r="C2" s="43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H2" s="51"/>
      <c r="I2" s="51"/>
      <c r="J2" s="51"/>
      <c r="K2" s="51"/>
      <c r="L2" s="51"/>
      <c r="M2" s="51"/>
      <c r="N2" s="51"/>
      <c r="O2" s="51"/>
      <c r="P2" s="51"/>
    </row>
    <row r="3" spans="1:16">
      <c r="A3" s="62">
        <v>2</v>
      </c>
      <c r="B3" s="45" t="s">
        <v>3</v>
      </c>
      <c r="C3" s="55" t="s">
        <v>9</v>
      </c>
      <c r="D3" s="29" t="str">
        <f>LEFT(C3,1)</f>
        <v>1</v>
      </c>
      <c r="E3" s="29">
        <f>HEX2DEC(MID($C3,2,1))</f>
        <v>10</v>
      </c>
      <c r="F3" s="29" t="str">
        <f>VLOOKUP(MID($C3,3,2),ULMessages[],2,0)</f>
        <v>ABM</v>
      </c>
      <c r="G3" s="29" t="str">
        <f>IF(MID($C3,5,2)="00","Started","Stopped")</f>
        <v>Stopped</v>
      </c>
      <c r="H3" s="51"/>
      <c r="I3" s="51"/>
      <c r="J3" s="51"/>
      <c r="K3" s="51"/>
      <c r="L3" s="51"/>
      <c r="M3" s="51"/>
      <c r="N3" s="51"/>
      <c r="O3" s="51"/>
      <c r="P3" s="51"/>
    </row>
    <row r="4" spans="1:16">
      <c r="A4" s="51">
        <v>3</v>
      </c>
      <c r="B4" s="44" t="s">
        <v>10</v>
      </c>
      <c r="C4" s="26" t="s">
        <v>11</v>
      </c>
      <c r="D4" s="26" t="s">
        <v>5</v>
      </c>
      <c r="E4" s="26" t="s">
        <v>6</v>
      </c>
      <c r="F4" s="26" t="s">
        <v>7</v>
      </c>
      <c r="G4" s="26" t="s">
        <v>8</v>
      </c>
      <c r="H4" s="26" t="s">
        <v>12</v>
      </c>
      <c r="I4" s="26" t="s">
        <v>13</v>
      </c>
      <c r="J4" s="51"/>
      <c r="K4" s="51"/>
      <c r="L4" s="51"/>
      <c r="M4" s="51"/>
      <c r="N4" s="51"/>
      <c r="O4" s="51"/>
      <c r="P4" s="51"/>
    </row>
    <row r="5" spans="1:16">
      <c r="A5" s="51">
        <v>4</v>
      </c>
      <c r="B5" s="45" t="s">
        <v>10</v>
      </c>
      <c r="C5" s="41" t="s">
        <v>14</v>
      </c>
      <c r="D5" s="29" t="str">
        <f>LEFT(C5,1)</f>
        <v>1</v>
      </c>
      <c r="E5" s="29">
        <f>HEX2DEC(MID($C5,2,1))</f>
        <v>11</v>
      </c>
      <c r="F5" s="29" t="str">
        <f>VLOOKUP(MID($C5,3,2),ULMessages[],2,0)</f>
        <v>ATH</v>
      </c>
      <c r="G5" s="29" t="str">
        <f>IF(MID($C5,5,2)="00","Periodic",IF(MID($C5,5,2)="01","Temp above upper",IF(MID($C5,5,2)="02","Temp below lower",IF(MID($C5,5,2)="03","+ Change in Temp",IF(MID($C5,5,2)="04","- Change in Temp",IF(MID($C5,5,2)="05","Humid above upper",IF(MID($C5,5,2)="06","Humid below lower",IF(MID($C5,5,2)="07","+ Change in Humid","- Change in Humid"))))))))</f>
        <v>- Change in Humid</v>
      </c>
      <c r="H5" s="29" t="str">
        <f>IF(HEX2DEC(MID($C5,7,1))&gt;7,"-","")&amp;BIN2DEC(RIGHT(HEX2BIN(MID($C5,7,2),8),7))&amp;"."&amp;MID($C5,9,1)</f>
        <v>11.3</v>
      </c>
      <c r="I5" s="29" t="str">
        <f>IF(HEX2DEC(MID($C5,11,1))&gt;7,"-","")&amp;BIN2DEC(RIGHT(HEX2BIN(MID($C5,11,2),8),7))&amp;"."&amp;MID($C5,13,1)</f>
        <v>76.9</v>
      </c>
      <c r="J5" s="51"/>
      <c r="K5" s="51"/>
      <c r="L5" s="51"/>
      <c r="M5" s="51"/>
      <c r="N5" s="51"/>
      <c r="O5" s="51"/>
      <c r="P5" s="51"/>
    </row>
    <row r="6" spans="1:16">
      <c r="A6" s="51">
        <v>5</v>
      </c>
      <c r="B6" s="44" t="s">
        <v>15</v>
      </c>
      <c r="C6" s="26" t="s">
        <v>16</v>
      </c>
      <c r="D6" s="26" t="s">
        <v>5</v>
      </c>
      <c r="E6" s="26" t="s">
        <v>6</v>
      </c>
      <c r="F6" s="26" t="s">
        <v>7</v>
      </c>
      <c r="G6" s="26" t="s">
        <v>17</v>
      </c>
      <c r="H6" s="51"/>
      <c r="I6" s="51"/>
      <c r="J6" s="51"/>
      <c r="K6" s="51"/>
      <c r="L6" s="51"/>
      <c r="M6" s="51"/>
      <c r="N6" s="51"/>
      <c r="O6" s="51"/>
      <c r="P6" s="51"/>
    </row>
    <row r="7" spans="1:16">
      <c r="A7" s="51">
        <v>6</v>
      </c>
      <c r="B7" s="45" t="s">
        <v>15</v>
      </c>
      <c r="C7" s="41" t="s">
        <v>18</v>
      </c>
      <c r="D7" s="29" t="str">
        <f>LEFT(C7,1)</f>
        <v>1</v>
      </c>
      <c r="E7" s="29">
        <f>HEX2DEC(MID($C7,2,1))</f>
        <v>5</v>
      </c>
      <c r="F7" s="29" t="str">
        <f>VLOOKUP(MID($C7,3,2),ULMessages[],2,0)</f>
        <v>CONTACT</v>
      </c>
      <c r="G7" s="29" t="str">
        <f>IF(MID($C7,5,2)="00","Shorted","Open")</f>
        <v>Open</v>
      </c>
      <c r="H7" s="51"/>
      <c r="I7" s="51"/>
      <c r="J7" s="51"/>
      <c r="K7" s="51"/>
      <c r="L7" s="51"/>
      <c r="M7" s="51"/>
      <c r="N7" s="51"/>
      <c r="O7" s="51"/>
      <c r="P7" s="51"/>
    </row>
    <row r="8" spans="1:16">
      <c r="A8" s="51">
        <v>7</v>
      </c>
      <c r="B8" s="44" t="s">
        <v>19</v>
      </c>
      <c r="C8" s="26" t="s">
        <v>20</v>
      </c>
      <c r="D8" s="26" t="s">
        <v>5</v>
      </c>
      <c r="E8" s="26" t="s">
        <v>6</v>
      </c>
      <c r="F8" s="26" t="s">
        <v>7</v>
      </c>
      <c r="G8" s="26" t="s">
        <v>8</v>
      </c>
      <c r="H8" s="26" t="s">
        <v>21</v>
      </c>
      <c r="I8" s="51"/>
      <c r="J8" s="51"/>
      <c r="K8" s="51"/>
      <c r="L8" s="51"/>
      <c r="M8" s="51"/>
      <c r="N8" s="51"/>
      <c r="O8" s="51"/>
      <c r="P8" s="51"/>
    </row>
    <row r="9" spans="1:16">
      <c r="A9" s="51">
        <v>8</v>
      </c>
      <c r="B9" s="45" t="s">
        <v>19</v>
      </c>
      <c r="C9" s="41" t="s">
        <v>22</v>
      </c>
      <c r="D9" s="29" t="str">
        <f>LEFT(C9,1)</f>
        <v>1</v>
      </c>
      <c r="E9" s="29">
        <f>HEX2DEC(MID($C9,2,1))</f>
        <v>5</v>
      </c>
      <c r="F9" s="29" t="str">
        <f>VLOOKUP(MID($C9,3,2),ULMessages[],2,0)</f>
        <v>Device Info Message</v>
      </c>
      <c r="G9" s="29" t="str">
        <f>"Message "&amp;MID($C9,5,1)&amp;" of "&amp;MID($C9,6,1)</f>
        <v>Message 5 of 5</v>
      </c>
      <c r="H9" s="29" t="str">
        <f>RIGHT($C9,LEN($C9)-6)</f>
        <v>0800781400000000</v>
      </c>
      <c r="I9" s="51"/>
      <c r="J9" s="51"/>
      <c r="K9" s="51"/>
      <c r="L9" s="51"/>
      <c r="M9" s="51"/>
      <c r="N9" s="51"/>
      <c r="O9" s="51"/>
      <c r="P9" s="51"/>
    </row>
    <row r="10" spans="1:16">
      <c r="A10" s="51">
        <v>9</v>
      </c>
      <c r="B10" s="44" t="s">
        <v>23</v>
      </c>
      <c r="C10" s="26" t="s">
        <v>24</v>
      </c>
      <c r="D10" s="26" t="s">
        <v>5</v>
      </c>
      <c r="E10" s="26" t="s">
        <v>6</v>
      </c>
      <c r="F10" s="26" t="s">
        <v>7</v>
      </c>
      <c r="G10" s="26" t="s">
        <v>25</v>
      </c>
      <c r="H10" s="51"/>
      <c r="I10" s="51"/>
      <c r="J10" s="51"/>
      <c r="K10" s="51"/>
      <c r="L10" s="51"/>
      <c r="M10" s="51"/>
      <c r="N10" s="51"/>
      <c r="O10" s="51"/>
      <c r="P10" s="51"/>
    </row>
    <row r="11" spans="1:16">
      <c r="A11" s="51">
        <v>10</v>
      </c>
      <c r="B11" s="45" t="s">
        <v>23</v>
      </c>
      <c r="C11" s="41" t="s">
        <v>26</v>
      </c>
      <c r="D11" s="29" t="str">
        <f>LEFT(C11,1)</f>
        <v>1</v>
      </c>
      <c r="E11" s="29">
        <f>HEX2DEC(MID($C11,2,1))</f>
        <v>5</v>
      </c>
      <c r="F11" s="29" t="str">
        <f>VLOOKUP(MID($C11,3,2),ULMessages[],2,0)</f>
        <v>DOOR_WINDOW</v>
      </c>
      <c r="G11" s="29" t="str">
        <f>IF(MID($C11,5,2)="00","Present","Absent")</f>
        <v>Absent</v>
      </c>
      <c r="H11" s="51"/>
      <c r="I11" s="51"/>
      <c r="J11" s="51"/>
      <c r="K11" s="51"/>
      <c r="L11" s="51"/>
      <c r="M11" s="51"/>
      <c r="N11" s="51"/>
      <c r="O11" s="51"/>
      <c r="P11" s="51"/>
    </row>
    <row r="12" spans="1:16">
      <c r="A12" s="51">
        <v>11</v>
      </c>
      <c r="B12" s="44" t="s">
        <v>27</v>
      </c>
      <c r="C12" s="26" t="s">
        <v>28</v>
      </c>
      <c r="D12" s="26" t="s">
        <v>5</v>
      </c>
      <c r="E12" s="26" t="s">
        <v>6</v>
      </c>
      <c r="F12" s="26" t="s">
        <v>7</v>
      </c>
      <c r="G12" s="26" t="s">
        <v>29</v>
      </c>
      <c r="H12" s="26" t="s">
        <v>30</v>
      </c>
      <c r="I12" s="51"/>
      <c r="J12" s="51"/>
      <c r="K12" s="51"/>
      <c r="L12" s="51"/>
      <c r="M12" s="51"/>
      <c r="N12" s="51"/>
      <c r="O12" s="51"/>
      <c r="P12" s="51"/>
    </row>
    <row r="13" spans="1:16">
      <c r="A13" s="51">
        <v>12</v>
      </c>
      <c r="B13" s="45" t="s">
        <v>27</v>
      </c>
      <c r="C13" s="41" t="s">
        <v>31</v>
      </c>
      <c r="D13" s="29" t="str">
        <f>LEFT(C13,1)</f>
        <v>1</v>
      </c>
      <c r="E13" s="29">
        <f>HEX2DEC(MID($C13,2,1))</f>
        <v>5</v>
      </c>
      <c r="F13" s="29" t="str">
        <f>VLOOKUP(MID($C13,3,2),ULMessages[],2,0)</f>
        <v>DOWNLINK_ACK</v>
      </c>
      <c r="G13" s="29" t="str">
        <f>IF(MID($C13,5,2)="00","Not used",IF(MID($C13,5,2)="01","Invalid",IF(MID($C13,5,2)="02","Valid",IF(MID($C13,5,2)="03","Valid &amp; next byte is reply",""))))</f>
        <v>Valid &amp; next byte is reply</v>
      </c>
      <c r="H13" s="29" t="str">
        <f>RIGHT($C13,LEN($C13)-6)</f>
        <v>fc00011100000000</v>
      </c>
      <c r="I13" s="51"/>
      <c r="J13" s="51"/>
      <c r="K13" s="51"/>
      <c r="L13" s="51"/>
      <c r="M13" s="51"/>
      <c r="N13" s="51"/>
      <c r="O13" s="51"/>
      <c r="P13" s="51"/>
    </row>
    <row r="14" spans="1:16">
      <c r="A14" s="51">
        <v>13</v>
      </c>
      <c r="B14" s="44" t="s">
        <v>32</v>
      </c>
      <c r="C14" s="26" t="s">
        <v>33</v>
      </c>
      <c r="D14" s="26" t="s">
        <v>5</v>
      </c>
      <c r="E14" s="26" t="s">
        <v>6</v>
      </c>
      <c r="F14" s="26" t="s">
        <v>7</v>
      </c>
      <c r="G14" s="26" t="s">
        <v>34</v>
      </c>
      <c r="H14" s="26" t="s">
        <v>35</v>
      </c>
      <c r="I14" s="26" t="s">
        <v>36</v>
      </c>
      <c r="J14" s="26" t="s">
        <v>37</v>
      </c>
      <c r="K14" s="26" t="s">
        <v>38</v>
      </c>
      <c r="L14" s="51"/>
      <c r="M14" s="51"/>
      <c r="N14" s="51"/>
      <c r="O14" s="51"/>
      <c r="P14" s="51"/>
    </row>
    <row r="15" spans="1:16">
      <c r="A15" s="51">
        <v>14</v>
      </c>
      <c r="B15" s="45" t="s">
        <v>32</v>
      </c>
      <c r="C15" s="41" t="s">
        <v>39</v>
      </c>
      <c r="D15" s="29" t="str">
        <f>LEFT(C15,1)</f>
        <v>1</v>
      </c>
      <c r="E15" s="29">
        <f>HEX2DEC(MID($C15,2,1))</f>
        <v>2</v>
      </c>
      <c r="F15" s="29" t="str">
        <f>VLOOKUP(MID($C15,3,2),ULMessages[],2,0)</f>
        <v>Air Quality Periodic</v>
      </c>
      <c r="G15" s="29">
        <f>IF(HEX2DEC(MID($C15,5,1))&gt;7,HEX2DEC(MID($C15,5,4))-65536,HEX2DEC(MID($C15,5,4)))/10</f>
        <v>1</v>
      </c>
      <c r="H15" s="29">
        <f>HEX2DEC(MID($C15,9,2))</f>
        <v>5</v>
      </c>
      <c r="I15" s="29">
        <f>HEX2DEC(MID($C15,11,4))</f>
        <v>10</v>
      </c>
      <c r="J15" s="29">
        <f>HEX2DEC(MID($C15,15,4))</f>
        <v>11</v>
      </c>
      <c r="K15" s="29">
        <f>HEX2DEC(MID($C15,19,4))</f>
        <v>12</v>
      </c>
      <c r="L15" s="51"/>
      <c r="M15" s="51"/>
      <c r="N15" s="51"/>
      <c r="O15" s="51"/>
      <c r="P15" s="51"/>
    </row>
    <row r="16" spans="1:16">
      <c r="A16" s="51">
        <v>15</v>
      </c>
      <c r="B16" s="44" t="s">
        <v>40</v>
      </c>
      <c r="C16" s="26" t="s">
        <v>41</v>
      </c>
      <c r="D16" s="26" t="s">
        <v>5</v>
      </c>
      <c r="E16" s="26" t="s">
        <v>6</v>
      </c>
      <c r="F16" s="26" t="s">
        <v>7</v>
      </c>
      <c r="G16" s="26" t="s">
        <v>42</v>
      </c>
      <c r="H16" s="26" t="s">
        <v>43</v>
      </c>
      <c r="I16" s="26" t="s">
        <v>44</v>
      </c>
      <c r="J16" s="26" t="s">
        <v>45</v>
      </c>
      <c r="K16" s="51"/>
      <c r="L16" s="51"/>
      <c r="M16" s="51"/>
      <c r="N16" s="51"/>
      <c r="O16" s="51"/>
      <c r="P16" s="51"/>
    </row>
    <row r="17" spans="1:16">
      <c r="A17" s="51">
        <v>16</v>
      </c>
      <c r="B17" s="45" t="s">
        <v>40</v>
      </c>
      <c r="C17" s="41" t="s">
        <v>46</v>
      </c>
      <c r="D17" s="29" t="str">
        <f>LEFT(C17,1)</f>
        <v>1</v>
      </c>
      <c r="E17" s="29">
        <f>HEX2DEC(MID($C17,2,1))</f>
        <v>5</v>
      </c>
      <c r="F17" s="29" t="str">
        <f>VLOOKUP(MID($C17,3,2),ULMessages[],2,0)</f>
        <v>Air Quality Periodic Extended</v>
      </c>
      <c r="G17" s="29">
        <f>HEX2DEC(MID($C17,5,4))</f>
        <v>1</v>
      </c>
      <c r="H17" s="29">
        <f>HEX2DEC(MID($C17,9,4))</f>
        <v>2</v>
      </c>
      <c r="I17" s="29">
        <f>HEX2DEC(MID($C17,13,4))</f>
        <v>3</v>
      </c>
      <c r="J17" s="29">
        <f>HEX2DEC(MID($C17,17,4))</f>
        <v>4</v>
      </c>
      <c r="K17" s="51"/>
      <c r="L17" s="51"/>
      <c r="M17" s="51"/>
      <c r="N17" s="51"/>
      <c r="O17" s="51"/>
      <c r="P17" s="51"/>
    </row>
    <row r="18" spans="1:16">
      <c r="A18" s="51">
        <v>17</v>
      </c>
      <c r="B18" s="44" t="s">
        <v>47</v>
      </c>
      <c r="C18" s="26" t="s">
        <v>48</v>
      </c>
      <c r="D18" s="26" t="s">
        <v>5</v>
      </c>
      <c r="E18" s="26" t="s">
        <v>6</v>
      </c>
      <c r="F18" s="26" t="s">
        <v>7</v>
      </c>
      <c r="G18" s="26" t="s">
        <v>8</v>
      </c>
      <c r="H18" s="26" t="s">
        <v>49</v>
      </c>
      <c r="I18" s="51"/>
      <c r="J18" s="51"/>
      <c r="K18" s="51"/>
      <c r="L18" s="51"/>
      <c r="M18" s="51"/>
      <c r="N18" s="51"/>
      <c r="O18" s="51"/>
      <c r="P18" s="51"/>
    </row>
    <row r="19" spans="1:16">
      <c r="A19" s="51">
        <v>18</v>
      </c>
      <c r="B19" s="45" t="s">
        <v>47</v>
      </c>
      <c r="C19" s="41" t="s">
        <v>50</v>
      </c>
      <c r="D19" s="29" t="str">
        <f>LEFT(C19,1)</f>
        <v>1</v>
      </c>
      <c r="E19" s="29">
        <f>HEX2DEC(MID($C19,2,1))</f>
        <v>0</v>
      </c>
      <c r="F19" s="29" t="str">
        <f>VLOOKUP(MID($C19,3,2),ULMessages[],2,0)</f>
        <v>Air Quality Sensor</v>
      </c>
      <c r="G19" s="29" t="str">
        <f>VLOOKUP((MID(C19,5,2)),Tables!L2:M37,2,0)</f>
        <v>PM2.5 &gt; upper threshold</v>
      </c>
      <c r="H19" s="29">
        <f>HEX2DEC(MID(C19,7,4))</f>
        <v>20496</v>
      </c>
      <c r="I19" s="51"/>
      <c r="J19" s="51"/>
      <c r="K19" s="51"/>
      <c r="L19" s="51"/>
      <c r="M19" s="51"/>
      <c r="N19" s="51"/>
      <c r="O19" s="51"/>
      <c r="P19" s="51"/>
    </row>
    <row r="20" spans="1:16" ht="26.25">
      <c r="A20" s="51">
        <v>19</v>
      </c>
      <c r="B20" s="44" t="s">
        <v>51</v>
      </c>
      <c r="C20" s="26" t="s">
        <v>52</v>
      </c>
      <c r="D20" s="26" t="s">
        <v>5</v>
      </c>
      <c r="E20" s="26" t="s">
        <v>6</v>
      </c>
      <c r="F20" s="26" t="s">
        <v>7</v>
      </c>
      <c r="G20" s="26" t="s">
        <v>53</v>
      </c>
      <c r="H20" s="26" t="s">
        <v>54</v>
      </c>
      <c r="I20" s="26" t="s">
        <v>55</v>
      </c>
      <c r="J20" s="51"/>
      <c r="K20" s="51"/>
      <c r="L20" s="51"/>
      <c r="M20" s="51"/>
      <c r="N20" s="51"/>
      <c r="O20" s="51"/>
      <c r="P20" s="51"/>
    </row>
    <row r="21" spans="1:16">
      <c r="A21" s="51">
        <v>20</v>
      </c>
      <c r="B21" s="45" t="s">
        <v>51</v>
      </c>
      <c r="C21" s="41" t="s">
        <v>56</v>
      </c>
      <c r="D21" s="29" t="str">
        <f>LEFT(C21,1)</f>
        <v>1</v>
      </c>
      <c r="E21" s="29">
        <f>HEX2DEC(MID($C21,2,1))</f>
        <v>7</v>
      </c>
      <c r="F21" s="29" t="str">
        <f>VLOOKUP(MID($C21,3,2),ULMessages[],2,0)</f>
        <v>LINK_QUALITY</v>
      </c>
      <c r="G21" s="29">
        <f>HEX2DEC(MID($C21,5,2))</f>
        <v>0</v>
      </c>
      <c r="H21" s="29">
        <f>IF(HEX2DEC(MID($C21,7,1))&gt;7,HEX2DEC(MID($C21,7,2))-256,HEX2DEC(MID($C21,7,2)))</f>
        <v>-118</v>
      </c>
      <c r="I21" s="29">
        <f>IF(HEX2DEC(MID($C21,9,1))&gt;7,HEX2DEC(MID($C21,9,2))-256,HEX2DEC(MID($C21,9,2)))</f>
        <v>-7</v>
      </c>
      <c r="J21" s="51"/>
      <c r="K21" s="51"/>
      <c r="L21" s="51"/>
      <c r="M21" s="51"/>
      <c r="N21" s="51"/>
      <c r="O21" s="51"/>
      <c r="P21" s="51"/>
    </row>
    <row r="22" spans="1:16">
      <c r="A22" s="51">
        <v>21</v>
      </c>
      <c r="B22" s="44" t="s">
        <v>57</v>
      </c>
      <c r="C22" s="26" t="s">
        <v>58</v>
      </c>
      <c r="D22" s="26" t="s">
        <v>5</v>
      </c>
      <c r="E22" s="26" t="s">
        <v>6</v>
      </c>
      <c r="F22" s="26" t="s">
        <v>7</v>
      </c>
      <c r="G22" s="26" t="s">
        <v>8</v>
      </c>
      <c r="H22" s="26" t="s">
        <v>59</v>
      </c>
      <c r="I22" s="26" t="s">
        <v>60</v>
      </c>
      <c r="J22" s="26" t="s">
        <v>1165</v>
      </c>
      <c r="K22" s="51"/>
      <c r="L22" s="51"/>
      <c r="M22" s="51"/>
      <c r="N22" s="51"/>
      <c r="O22" s="51"/>
      <c r="P22" s="51"/>
    </row>
    <row r="23" spans="1:16">
      <c r="A23" s="51">
        <v>22</v>
      </c>
      <c r="B23" s="45" t="s">
        <v>57</v>
      </c>
      <c r="C23" s="41" t="s">
        <v>1167</v>
      </c>
      <c r="D23" s="29" t="str">
        <f>LEFT(C23,1)</f>
        <v>1</v>
      </c>
      <c r="E23" s="29">
        <f>HEX2DEC(MID($C23,2,1))</f>
        <v>4</v>
      </c>
      <c r="F23" s="29" t="str">
        <f>VLOOKUP(MID($C23,3,2),ULMessages[],2,0)</f>
        <v>Pulse Counter</v>
      </c>
      <c r="G23" s="29" t="str">
        <f>IF(MID(HEX2BIN(MID($C23,5,1),4),1,3)="000","Periodic report",IF(MID(HEX2BIN(MID($C23,5,1),4),1,3)="001","Overspeed",IF(MID(HEX2BIN(MID($C23,5,1),4),1,3)="010","Underspeed",IF(MID(HEX2BIN(MID($C23,5,1),4),1,3)="011","Too-Long inactive",""))))</f>
        <v>Overspeed</v>
      </c>
      <c r="H23" s="40">
        <f>BIN2DEC(RIGHT(HEX2BIN(MID($C23,6,1)),3))/8</f>
        <v>0.25</v>
      </c>
      <c r="I23" s="40">
        <f>HEX2DEC(MID($C23,7,2)) + (BIN2DEC(LEFT(HEX2BIN(MID($C23,9,2),8),5)) * 256)</f>
        <v>1587</v>
      </c>
      <c r="J23" s="40">
        <f>(BIN2DEC(RIGHT(HEX2BIN(MID($C23,9,2),8),3))*4294967296) + HEX2DEC(MID($C23,11,8))</f>
        <v>18325193796</v>
      </c>
      <c r="K23" s="51"/>
      <c r="L23" s="51"/>
      <c r="M23" s="51"/>
      <c r="N23" s="51"/>
      <c r="O23" s="51"/>
      <c r="P23" s="51"/>
    </row>
    <row r="24" spans="1:16">
      <c r="A24" s="51">
        <v>23</v>
      </c>
      <c r="B24" s="44" t="s">
        <v>61</v>
      </c>
      <c r="C24" s="26" t="s">
        <v>62</v>
      </c>
      <c r="D24" s="26" t="s">
        <v>5</v>
      </c>
      <c r="E24" s="26" t="s">
        <v>6</v>
      </c>
      <c r="F24" s="26" t="s">
        <v>7</v>
      </c>
      <c r="G24" s="26" t="s">
        <v>63</v>
      </c>
      <c r="H24" s="26" t="s">
        <v>64</v>
      </c>
      <c r="I24" s="51"/>
      <c r="J24" s="51"/>
      <c r="K24" s="51"/>
      <c r="L24" s="51"/>
      <c r="M24" s="51"/>
      <c r="N24" s="51"/>
      <c r="O24" s="51"/>
      <c r="P24" s="51"/>
    </row>
    <row r="25" spans="1:16">
      <c r="A25" s="51">
        <v>24</v>
      </c>
      <c r="B25" s="45" t="s">
        <v>61</v>
      </c>
      <c r="C25" s="41" t="s">
        <v>1174</v>
      </c>
      <c r="D25" s="29" t="str">
        <f>LEFT(C25,1)</f>
        <v>1</v>
      </c>
      <c r="E25" s="29">
        <f>HEX2DEC(MID($C25,2,1))</f>
        <v>5</v>
      </c>
      <c r="F25" s="29" t="str">
        <f>VLOOKUP(MID($C25,3,2),ULMessages[],2,0)</f>
        <v>PUSH_BUTTON</v>
      </c>
      <c r="G25" s="29" t="str">
        <f>MID($C25,5,2)</f>
        <v>03</v>
      </c>
      <c r="H25" s="29" t="str">
        <f>IF(MID($C25,7,2)="00","Pressed",IF(MID($C25,7,2)="01","Released","Held"))</f>
        <v>Released</v>
      </c>
      <c r="I25" s="51"/>
      <c r="J25" s="51"/>
      <c r="K25" s="51"/>
      <c r="L25" s="51"/>
      <c r="M25" s="51"/>
      <c r="N25" s="51"/>
      <c r="O25" s="51"/>
      <c r="P25" s="51"/>
    </row>
    <row r="26" spans="1:16">
      <c r="A26" s="51">
        <v>25</v>
      </c>
      <c r="B26" s="44" t="s">
        <v>66</v>
      </c>
      <c r="C26" s="26" t="s">
        <v>67</v>
      </c>
      <c r="D26" s="26" t="s">
        <v>5</v>
      </c>
      <c r="E26" s="26" t="s">
        <v>6</v>
      </c>
      <c r="F26" s="26" t="s">
        <v>7</v>
      </c>
      <c r="G26" s="26" t="s">
        <v>1</v>
      </c>
      <c r="H26" s="26" t="s">
        <v>68</v>
      </c>
      <c r="I26" s="26" t="s">
        <v>69</v>
      </c>
      <c r="J26" s="26" t="s">
        <v>70</v>
      </c>
      <c r="K26" s="51"/>
      <c r="L26" s="51"/>
      <c r="M26" s="51"/>
      <c r="N26" s="51"/>
      <c r="O26" s="51"/>
      <c r="P26" s="51"/>
    </row>
    <row r="27" spans="1:16">
      <c r="A27" s="51">
        <v>26</v>
      </c>
      <c r="B27" s="45" t="s">
        <v>66</v>
      </c>
      <c r="C27" s="41" t="s">
        <v>71</v>
      </c>
      <c r="D27" s="29" t="str">
        <f>LEFT(C27,1)</f>
        <v>1</v>
      </c>
      <c r="E27" s="29">
        <f>HEX2DEC(MID($C27,2,1))</f>
        <v>13</v>
      </c>
      <c r="F27" s="29" t="str">
        <f>VLOOKUP(MID($C27,3,2),ULMessages[],2,0)</f>
        <v>RESET</v>
      </c>
      <c r="G27" s="29" t="str">
        <f>VLOOKUP(MID($C27,5,2),DeviceType[],2,0)</f>
        <v>Water Sensor</v>
      </c>
      <c r="H27" s="29" t="str">
        <f>MID($C27,7,1)&amp;"."&amp;MID($C27,8,1)</f>
        <v>3.0</v>
      </c>
      <c r="I27" s="29" t="str">
        <f>IF(LEFT(HEX2BIN(MID($C27,9,1),4))="1",BIN2DEC(MID(HEX2BIN(MID($C27,9,2),8),2,5))&amp;"."&amp;BIN2DEC(MID(HEX2BIN(MID($C27,10,2),8),3,5))&amp;"."&amp;BIN2DEC(MID(HEX2BIN(MID($C27,11,2),8),3,6)),"")</f>
        <v>3.2.6</v>
      </c>
      <c r="J27" s="29" t="str">
        <f>HEX2BIN(MID($C27,13,2),8)&amp;","&amp;HEX2BIN(MID($C27,15,2),8)</f>
        <v>00000000,00000001</v>
      </c>
      <c r="K27" s="51"/>
      <c r="L27" s="51"/>
      <c r="M27" s="51"/>
      <c r="N27" s="51"/>
      <c r="O27" s="51"/>
      <c r="P27" s="51"/>
    </row>
    <row r="28" spans="1:16" ht="26.25">
      <c r="A28" s="51">
        <v>27</v>
      </c>
      <c r="B28" s="44" t="s">
        <v>72</v>
      </c>
      <c r="C28" s="26" t="s">
        <v>73</v>
      </c>
      <c r="D28" s="26" t="s">
        <v>5</v>
      </c>
      <c r="E28" s="26" t="s">
        <v>6</v>
      </c>
      <c r="F28" s="26" t="s">
        <v>7</v>
      </c>
      <c r="G28" s="26" t="s">
        <v>8</v>
      </c>
      <c r="H28" s="26" t="s">
        <v>74</v>
      </c>
      <c r="I28" s="51"/>
      <c r="J28" s="51"/>
      <c r="K28" s="51"/>
      <c r="L28" s="51"/>
      <c r="M28" s="51"/>
      <c r="N28" s="51"/>
      <c r="O28" s="51"/>
      <c r="P28" s="51"/>
    </row>
    <row r="29" spans="1:16">
      <c r="A29" s="51">
        <v>28</v>
      </c>
      <c r="B29" s="45" t="s">
        <v>72</v>
      </c>
      <c r="C29" s="41" t="s">
        <v>75</v>
      </c>
      <c r="D29" s="29" t="str">
        <f>LEFT(C29,1)</f>
        <v>1</v>
      </c>
      <c r="E29" s="29">
        <f>HEX2DEC(MID($C29,2,1))</f>
        <v>11</v>
      </c>
      <c r="F29" s="29" t="str">
        <f>VLOOKUP(MID($C29,3,2),ULMessages[],2,0)</f>
        <v>SENSOR420MA</v>
      </c>
      <c r="G29" s="29" t="str">
        <f>IF(MID($C29,5,2)="00","Periodic",IF(MID($C29,5,2)="01","Through Upper",IF(MID($C29,5,2)="02","Through Lower",IF(MID($C29,5,2)="03","Change Increase","Change Decrease"))))</f>
        <v>Periodic</v>
      </c>
      <c r="H29" s="29" t="str">
        <f>HEX2DEC(MID($C29,7,4))/100&amp;" mA"</f>
        <v>4.45 mA</v>
      </c>
      <c r="I29" s="51"/>
      <c r="J29" s="51"/>
      <c r="K29" s="51"/>
      <c r="L29" s="51"/>
      <c r="M29" s="51"/>
      <c r="N29" s="51"/>
      <c r="O29" s="51"/>
      <c r="P29" s="51"/>
    </row>
    <row r="30" spans="1:16" ht="26.25">
      <c r="A30" s="51">
        <v>29</v>
      </c>
      <c r="B30" s="44" t="s">
        <v>76</v>
      </c>
      <c r="C30" s="26" t="s">
        <v>77</v>
      </c>
      <c r="D30" s="26" t="s">
        <v>5</v>
      </c>
      <c r="E30" s="26" t="s">
        <v>6</v>
      </c>
      <c r="F30" s="26" t="s">
        <v>7</v>
      </c>
      <c r="G30" s="26" t="s">
        <v>78</v>
      </c>
      <c r="H30" s="26" t="s">
        <v>79</v>
      </c>
      <c r="I30" s="26" t="s">
        <v>80</v>
      </c>
      <c r="J30" s="26" t="s">
        <v>81</v>
      </c>
      <c r="K30" s="26" t="s">
        <v>82</v>
      </c>
      <c r="L30" s="26" t="s">
        <v>83</v>
      </c>
      <c r="M30" s="26" t="s">
        <v>84</v>
      </c>
      <c r="N30" s="26" t="s">
        <v>85</v>
      </c>
      <c r="O30" s="26" t="s">
        <v>86</v>
      </c>
      <c r="P30" s="51"/>
    </row>
    <row r="31" spans="1:16">
      <c r="A31" s="51">
        <v>30</v>
      </c>
      <c r="B31" s="45" t="s">
        <v>76</v>
      </c>
      <c r="C31" s="41" t="s">
        <v>87</v>
      </c>
      <c r="D31" s="29" t="str">
        <f>LEFT(C31,1)</f>
        <v>1</v>
      </c>
      <c r="E31" s="29">
        <f>HEX2DEC(MID($C31,2,1))</f>
        <v>14</v>
      </c>
      <c r="F31" s="29" t="str">
        <f>VLOOKUP(MID($C31,3,2),ULMessages[],2,0)</f>
        <v>SUPERVISORY</v>
      </c>
      <c r="G31" s="29" t="str">
        <f>IF(MID(HEX2BIN(MID($C31,5,2),8),4,1)="0","No","Yes")</f>
        <v>Yes</v>
      </c>
      <c r="H31" s="29" t="str">
        <f>IF(MID(HEX2BIN(MID($C31,5,2),8),5,1)="0","No","Yes")</f>
        <v>No</v>
      </c>
      <c r="I31" s="29" t="str">
        <f>IF(MID(HEX2BIN(MID($C31,5,2),8),6,1)="0","No","Yes")</f>
        <v>No</v>
      </c>
      <c r="J31" s="29" t="str">
        <f>IF(MID(HEX2BIN(MID($C31,5,2),8),7,1)="0","No","Yes")</f>
        <v>No</v>
      </c>
      <c r="K31" s="29" t="str">
        <f>IF(MID(HEX2BIN(MID($C31,5,2),8),8,1)="0","No","Yes")</f>
        <v>Yes</v>
      </c>
      <c r="L31" s="29" t="str">
        <f>HEX2BIN(MID($C31,7,2),8)</f>
        <v>00010011</v>
      </c>
      <c r="M31" s="29" t="str">
        <f>MID($C31,9,1)&amp;"."&amp;MID($C31,10,1)&amp;"V"</f>
        <v>3.1V</v>
      </c>
      <c r="N31" s="29" t="str">
        <f>(MID($C31,11,8))</f>
        <v>00000000</v>
      </c>
      <c r="O31" s="29">
        <f>HEX2DEC(MID($C31,19,4))</f>
        <v>18</v>
      </c>
      <c r="P31" s="51"/>
    </row>
    <row r="32" spans="1:16">
      <c r="A32" s="51">
        <v>31</v>
      </c>
      <c r="B32" s="44" t="s">
        <v>88</v>
      </c>
      <c r="C32" s="26" t="s">
        <v>89</v>
      </c>
      <c r="D32" s="26" t="s">
        <v>5</v>
      </c>
      <c r="E32" s="26" t="s">
        <v>6</v>
      </c>
      <c r="F32" s="26" t="s">
        <v>7</v>
      </c>
      <c r="G32" s="26" t="s">
        <v>90</v>
      </c>
      <c r="H32" s="51"/>
      <c r="I32" s="51"/>
      <c r="J32" s="51"/>
      <c r="K32" s="51"/>
      <c r="L32" s="51"/>
      <c r="M32" s="51"/>
      <c r="N32" s="51"/>
      <c r="O32" s="51"/>
      <c r="P32" s="51"/>
    </row>
    <row r="33" spans="1:16">
      <c r="A33" s="51">
        <v>32</v>
      </c>
      <c r="B33" s="45" t="s">
        <v>88</v>
      </c>
      <c r="C33" s="41" t="s">
        <v>91</v>
      </c>
      <c r="D33" s="29" t="str">
        <f>LEFT(C33,1)</f>
        <v>1</v>
      </c>
      <c r="E33" s="29">
        <f>HEX2DEC(MID($C33,2,1))</f>
        <v>9</v>
      </c>
      <c r="F33" s="29" t="str">
        <f>VLOOKUP(MID($C33,3,2),ULMessages[],2,0)</f>
        <v>TAMPER</v>
      </c>
      <c r="G33" s="29" t="str">
        <f>IF(MID($C33,5,2)="00","Open","Closed")</f>
        <v>Open</v>
      </c>
      <c r="H33" s="51"/>
      <c r="I33" s="51"/>
      <c r="J33" s="51"/>
      <c r="K33" s="51"/>
      <c r="L33" s="51"/>
      <c r="M33" s="51"/>
      <c r="N33" s="51"/>
      <c r="O33" s="51"/>
      <c r="P33" s="51"/>
    </row>
    <row r="34" spans="1:16">
      <c r="A34" s="51">
        <v>33</v>
      </c>
      <c r="B34" s="44" t="s">
        <v>92</v>
      </c>
      <c r="C34" s="26" t="s">
        <v>93</v>
      </c>
      <c r="D34" s="26" t="s">
        <v>5</v>
      </c>
      <c r="E34" s="26" t="s">
        <v>6</v>
      </c>
      <c r="F34" s="26" t="s">
        <v>7</v>
      </c>
      <c r="G34" s="26" t="s">
        <v>8</v>
      </c>
      <c r="H34" s="26" t="s">
        <v>12</v>
      </c>
      <c r="I34" s="51"/>
      <c r="J34" s="51"/>
      <c r="K34" s="51"/>
      <c r="L34" s="51"/>
      <c r="M34" s="51"/>
      <c r="N34" s="51"/>
      <c r="O34" s="51"/>
      <c r="P34" s="51"/>
    </row>
    <row r="35" spans="1:16">
      <c r="A35" s="51">
        <v>34</v>
      </c>
      <c r="B35" s="45" t="s">
        <v>92</v>
      </c>
      <c r="C35" t="s">
        <v>94</v>
      </c>
      <c r="D35" s="29" t="str">
        <f>LEFT(C35,1)</f>
        <v>1</v>
      </c>
      <c r="E35" s="29">
        <f>HEX2DEC(MID($C35,2,1))</f>
        <v>11</v>
      </c>
      <c r="F35" s="29" t="e">
        <f>VLOOKUP(MID($C35,3,2),ULMessages[],2,0)</f>
        <v>#N/A</v>
      </c>
      <c r="G35" s="29" t="str">
        <f>IF(MID($C35,5,2)="00","Periodic",IF(MID($C35,5,2)="01","Through Upper",IF(MID($C35,5,2)="02","Through Lower",IF(MID($C35,5,2)="03","Change Increase","Change Decrease"))))</f>
        <v>Change Decrease</v>
      </c>
      <c r="H35" s="29">
        <f>IF(HEX2DEC(MID($C35,7,1))&gt;7,HEX2DEC(MID($C35,7,2))-256,HEX2DEC(MID($C35,7,2)))</f>
        <v>-87</v>
      </c>
      <c r="I35" s="51"/>
      <c r="J35" s="51"/>
      <c r="K35" s="51"/>
      <c r="L35" s="51"/>
      <c r="M35" s="51"/>
      <c r="N35" s="51"/>
      <c r="O35" s="51"/>
      <c r="P35" s="51"/>
    </row>
    <row r="36" spans="1:16">
      <c r="A36" s="51">
        <v>35</v>
      </c>
      <c r="B36" s="44" t="s">
        <v>95</v>
      </c>
      <c r="C36" s="26" t="s">
        <v>96</v>
      </c>
      <c r="D36" s="26" t="s">
        <v>5</v>
      </c>
      <c r="E36" s="26" t="s">
        <v>6</v>
      </c>
      <c r="F36" s="26" t="s">
        <v>7</v>
      </c>
      <c r="G36" s="26" t="s">
        <v>8</v>
      </c>
      <c r="H36" s="26" t="s">
        <v>12</v>
      </c>
      <c r="I36" s="51"/>
      <c r="J36" s="51"/>
      <c r="K36" s="51"/>
      <c r="L36" s="51"/>
      <c r="M36" s="51"/>
      <c r="N36" s="51"/>
      <c r="O36" s="51"/>
      <c r="P36" s="51"/>
    </row>
    <row r="37" spans="1:16">
      <c r="A37" s="51">
        <v>36</v>
      </c>
      <c r="B37" s="45" t="s">
        <v>95</v>
      </c>
      <c r="C37" s="41" t="s">
        <v>97</v>
      </c>
      <c r="D37" s="29" t="str">
        <f>LEFT(C37,1)</f>
        <v>1</v>
      </c>
      <c r="E37" s="29">
        <f>HEX2DEC(MID($C37,2,1))</f>
        <v>12</v>
      </c>
      <c r="F37" s="29" t="str">
        <f>VLOOKUP(MID($C37,3,2),ULMessages[],2,0)</f>
        <v>CMOS TEMPERATURE EVNET</v>
      </c>
      <c r="G37" s="29" t="str">
        <f>IF(MID($C37,5,2)="00","Periodic",IF(MID($C37,5,2)="01","Through Upper",IF(MID($C37,5,2)="02","Through Lower",IF(MID($C37,5,2)="03","Change Increase","Change Decrease"))))</f>
        <v>Periodic</v>
      </c>
      <c r="H37" s="29" t="str">
        <f>IF(HEX2DEC(MID($C37,7,1))&gt;7,"-","")&amp;BIN2DEC(RIGHT(HEX2BIN(MID($C37,7,2),8),7))&amp;"."&amp;MID($C37,9,1)</f>
        <v>-1.7</v>
      </c>
      <c r="I37" s="51"/>
      <c r="J37" s="51"/>
      <c r="K37" s="51"/>
      <c r="L37" s="51"/>
      <c r="M37" s="51"/>
      <c r="N37" s="51"/>
      <c r="O37" s="51"/>
      <c r="P37" s="51"/>
    </row>
    <row r="38" spans="1:16" ht="54.75" customHeight="1">
      <c r="A38" s="51">
        <v>37</v>
      </c>
      <c r="B38" s="44" t="s">
        <v>98</v>
      </c>
      <c r="C38" s="26" t="s">
        <v>99</v>
      </c>
      <c r="D38" s="26" t="s">
        <v>5</v>
      </c>
      <c r="E38" s="26" t="s">
        <v>6</v>
      </c>
      <c r="F38" s="26" t="s">
        <v>7</v>
      </c>
      <c r="G38" s="26" t="s">
        <v>8</v>
      </c>
      <c r="H38" s="26" t="s">
        <v>100</v>
      </c>
      <c r="I38" s="26" t="s">
        <v>101</v>
      </c>
      <c r="J38" s="26" t="s">
        <v>102</v>
      </c>
      <c r="K38" s="26" t="s">
        <v>103</v>
      </c>
      <c r="L38" s="26" t="s">
        <v>104</v>
      </c>
      <c r="M38" s="26" t="s">
        <v>105</v>
      </c>
      <c r="N38" s="26" t="s">
        <v>106</v>
      </c>
      <c r="O38" s="26" t="s">
        <v>107</v>
      </c>
      <c r="P38" s="26" t="s">
        <v>108</v>
      </c>
    </row>
    <row r="39" spans="1:16">
      <c r="A39" s="51">
        <v>38</v>
      </c>
      <c r="B39" s="45" t="s">
        <v>98</v>
      </c>
      <c r="C39" s="41" t="s">
        <v>109</v>
      </c>
      <c r="D39" s="29" t="str">
        <f>LEFT(C39,1)</f>
        <v>1</v>
      </c>
      <c r="E39" s="29">
        <f>HEX2DEC(MID($C39,2,1))</f>
        <v>0</v>
      </c>
      <c r="F39" s="29" t="str">
        <f>VLOOKUP(MID($C39,3,2),ULMessages[],2,0)</f>
        <v>THERMOCOUPLE</v>
      </c>
      <c r="G39" s="29" t="str">
        <f>IF(MID($C39,5,2)="00","Periodic",IF(MID($C39,5,2)="01","Through Upper",IF(MID($C39,5,2)="02","Through Lower",IF(MID($C39,5,2)="03","Change Increase","Change Decrease"))))</f>
        <v>Through Lower</v>
      </c>
      <c r="H39" s="29">
        <f>IF(HEX2DEC(MID($C39,7,1))&gt;7,HEX2DEC(MID($C39,7,4))-65536,HEX2DEC(MID($C39,7,4)))/16</f>
        <v>-250</v>
      </c>
      <c r="I39" s="29" t="str">
        <f>IF(MID(HEX2BIN(MID($C39,11,2),8),1,1)="0","No","Yes")</f>
        <v>Yes</v>
      </c>
      <c r="J39" s="29" t="str">
        <f>IF(MID(HEX2BIN(MID($C39,11,2),8),2,1)="0","No","Yes")</f>
        <v>No</v>
      </c>
      <c r="K39" s="29" t="str">
        <f>IF(MID(HEX2BIN(MID($C39,11,2),8),3,1)="0","No","Yes")</f>
        <v>No</v>
      </c>
      <c r="L39" s="29" t="str">
        <f>IF(MID(HEX2BIN(MID($C39,11,2),8),4,1)="0","No","Yes")</f>
        <v>No</v>
      </c>
      <c r="M39" s="29" t="str">
        <f>IF(MID(HEX2BIN(MID($C39,11,2),8),5,1)="0","No","Yes")</f>
        <v>No</v>
      </c>
      <c r="N39" s="29" t="str">
        <f>IF(MID(HEX2BIN(MID($C39,11,2),8),6,1)="0","No","Yes")</f>
        <v>Yes</v>
      </c>
      <c r="O39" s="29" t="str">
        <f>IF(MID(HEX2BIN(MID($C39,11,2),8),7,1)="0","No","Yes")</f>
        <v>Yes</v>
      </c>
      <c r="P39" s="29" t="str">
        <f>IF(MID(HEX2BIN(MID($C39,11,2),8),8,1)="0","No","Yes")</f>
        <v>Yes</v>
      </c>
    </row>
    <row r="40" spans="1:16" ht="26.25">
      <c r="A40" s="51">
        <v>39</v>
      </c>
      <c r="B40" s="44" t="s">
        <v>110</v>
      </c>
      <c r="C40" s="26" t="s">
        <v>111</v>
      </c>
      <c r="D40" s="26" t="s">
        <v>5</v>
      </c>
      <c r="E40" s="26" t="s">
        <v>6</v>
      </c>
      <c r="F40" s="26" t="s">
        <v>7</v>
      </c>
      <c r="G40" s="26" t="s">
        <v>8</v>
      </c>
      <c r="H40" s="26" t="s">
        <v>112</v>
      </c>
      <c r="I40" s="51"/>
      <c r="J40" s="51"/>
      <c r="K40" s="51"/>
      <c r="L40" s="51"/>
      <c r="M40" s="51"/>
      <c r="N40" s="51"/>
      <c r="O40" s="51"/>
      <c r="P40" s="51"/>
    </row>
    <row r="41" spans="1:16">
      <c r="A41" s="51">
        <v>40</v>
      </c>
      <c r="B41" s="45" t="s">
        <v>110</v>
      </c>
      <c r="C41" s="41" t="s">
        <v>113</v>
      </c>
      <c r="D41" s="29" t="str">
        <f>LEFT(C41,1)</f>
        <v>1</v>
      </c>
      <c r="E41" s="29">
        <f>HEX2DEC(MID($C41,2,1))</f>
        <v>7</v>
      </c>
      <c r="F41" s="29" t="str">
        <f>VLOOKUP(MID($C41,3,2),ULMessages[],2,0)</f>
        <v>TILT</v>
      </c>
      <c r="G41" s="29" t="str">
        <f>IF(MID($C41,5,2)="00","To Vertical",IF(MID($C41,5,2)="01","To Horizontal",IF(MID($C41,5,2)="02","Toward Vertical",IF(MID($C41,5,2)="03","Toward Horizontal",""))))</f>
        <v>Toward Horizontal</v>
      </c>
      <c r="H41" s="29">
        <f>HEX2DEC(MID($C41,7,2))</f>
        <v>85</v>
      </c>
      <c r="I41" s="51"/>
      <c r="J41" s="51"/>
      <c r="K41" s="51"/>
      <c r="L41" s="51"/>
      <c r="M41" s="51"/>
      <c r="N41" s="51"/>
      <c r="O41" s="51"/>
      <c r="P41" s="51"/>
    </row>
    <row r="42" spans="1:16">
      <c r="A42" s="51">
        <v>41</v>
      </c>
      <c r="B42" s="44" t="s">
        <v>114</v>
      </c>
      <c r="C42" s="26" t="s">
        <v>115</v>
      </c>
      <c r="D42" s="26" t="s">
        <v>5</v>
      </c>
      <c r="E42" s="26" t="s">
        <v>6</v>
      </c>
      <c r="F42" s="26" t="s">
        <v>7</v>
      </c>
      <c r="G42" s="26" t="s">
        <v>8</v>
      </c>
      <c r="H42" s="26" t="s">
        <v>116</v>
      </c>
      <c r="I42" s="51"/>
      <c r="J42" s="51"/>
      <c r="K42" s="51"/>
      <c r="L42" s="51"/>
      <c r="M42" s="51"/>
      <c r="N42" s="51"/>
      <c r="O42" s="51"/>
      <c r="P42" s="51"/>
    </row>
    <row r="43" spans="1:16">
      <c r="A43" s="51">
        <v>42</v>
      </c>
      <c r="B43" s="45" t="s">
        <v>114</v>
      </c>
      <c r="C43" s="41" t="s">
        <v>117</v>
      </c>
      <c r="D43" s="29" t="str">
        <f>LEFT(C43,1)</f>
        <v>1</v>
      </c>
      <c r="E43" s="29">
        <f>HEX2DEC(MID($C43,2,1))</f>
        <v>0</v>
      </c>
      <c r="F43" s="29" t="str">
        <f>VLOOKUP(MID($C43,3,2),ULMessages[],2,0)</f>
        <v>ULTRASONIC</v>
      </c>
      <c r="G43" s="29" t="str">
        <f>IF(MID($C43,5,2)="00","Periodic",IF(MID($C43,5,2)="01","Through Upper",IF(MID($C43,5,2)="02","Through Lower",IF(MID($C43,5,2)="03","Change Increase","Change Decrease"))))</f>
        <v>Periodic</v>
      </c>
      <c r="H43" s="29">
        <f>HEX2DEC(MID($C43,7,4))</f>
        <v>118</v>
      </c>
      <c r="I43" s="51"/>
      <c r="J43" s="51"/>
      <c r="K43" s="51"/>
      <c r="L43" s="51"/>
      <c r="M43" s="51"/>
      <c r="N43" s="51"/>
      <c r="O43" s="51"/>
      <c r="P43" s="51"/>
    </row>
    <row r="44" spans="1:16" ht="26.25">
      <c r="A44" s="51">
        <v>43</v>
      </c>
      <c r="B44" s="44" t="s">
        <v>118</v>
      </c>
      <c r="C44" s="26" t="s">
        <v>119</v>
      </c>
      <c r="D44" s="26" t="s">
        <v>5</v>
      </c>
      <c r="E44" s="26" t="s">
        <v>6</v>
      </c>
      <c r="F44" s="26" t="s">
        <v>7</v>
      </c>
      <c r="G44" s="26" t="s">
        <v>8</v>
      </c>
      <c r="H44" s="26" t="s">
        <v>74</v>
      </c>
      <c r="I44" s="51"/>
      <c r="J44" s="51"/>
      <c r="K44" s="51"/>
      <c r="L44" s="51"/>
      <c r="M44" s="51"/>
      <c r="N44" s="51"/>
      <c r="O44" s="51"/>
      <c r="P44" s="51"/>
    </row>
    <row r="45" spans="1:16">
      <c r="A45" s="51">
        <v>44</v>
      </c>
      <c r="B45" s="45" t="s">
        <v>118</v>
      </c>
      <c r="C45" s="41" t="s">
        <v>120</v>
      </c>
      <c r="D45" s="29" t="str">
        <f>LEFT(C45,1)</f>
        <v>1</v>
      </c>
      <c r="E45" s="29">
        <f>HEX2DEC(MID($C45,2,1))</f>
        <v>2</v>
      </c>
      <c r="F45" s="29" t="str">
        <f>VLOOKUP(MID($C45,3,2),ULMessages[],2,0)</f>
        <v>VOLTMETER</v>
      </c>
      <c r="G45" s="29" t="str">
        <f>IF(MID($C45,5,2)="00","Periodic",IF(MID($C45,5,2)="01","Through Upper",IF(MID($C45,5,2)="02","Through Lower",IF(MID($C45,5,2)="03","Change Increase","Change Decrease"))))</f>
        <v>Through Lower</v>
      </c>
      <c r="H45" s="29" t="str">
        <f>HEX2DEC(MID($C45,7,4))/10&amp;" mV"</f>
        <v>0.6 mV</v>
      </c>
      <c r="I45" s="51"/>
      <c r="J45" s="51"/>
      <c r="K45" s="51"/>
      <c r="L45" s="51"/>
      <c r="M45" s="51"/>
      <c r="N45" s="51"/>
      <c r="O45" s="51"/>
      <c r="P45" s="51"/>
    </row>
    <row r="46" spans="1:16">
      <c r="A46" s="51">
        <v>45</v>
      </c>
      <c r="B46" s="44" t="s">
        <v>121</v>
      </c>
      <c r="C46" s="26" t="s">
        <v>122</v>
      </c>
      <c r="D46" s="26" t="s">
        <v>5</v>
      </c>
      <c r="E46" s="26" t="s">
        <v>6</v>
      </c>
      <c r="F46" s="26" t="s">
        <v>7</v>
      </c>
      <c r="G46" s="26" t="s">
        <v>123</v>
      </c>
      <c r="H46" s="26" t="s">
        <v>124</v>
      </c>
      <c r="I46" s="51"/>
      <c r="J46" s="51"/>
      <c r="K46" s="51"/>
      <c r="L46" s="51"/>
      <c r="M46" s="51"/>
      <c r="N46" s="51"/>
      <c r="O46" s="51"/>
      <c r="P46" s="51"/>
    </row>
    <row r="47" spans="1:16">
      <c r="A47" s="51">
        <v>46</v>
      </c>
      <c r="B47" s="45" t="s">
        <v>121</v>
      </c>
      <c r="C47" s="41" t="s">
        <v>125</v>
      </c>
      <c r="D47" s="29" t="str">
        <f>LEFT(C47,1)</f>
        <v>1</v>
      </c>
      <c r="E47" s="29">
        <f>HEX2DEC(MID($C47,2,1))</f>
        <v>9</v>
      </c>
      <c r="F47" s="29" t="str">
        <f>VLOOKUP(MID($C47,3,2),ULMessages[],2,0)</f>
        <v>WATER</v>
      </c>
      <c r="G47" s="29" t="str">
        <f>IF(MID($C47,5,2)="00","Present","Not present")</f>
        <v>Not present</v>
      </c>
      <c r="H47" s="29">
        <f>HEX2DEC(MID($C47,7,2))</f>
        <v>0</v>
      </c>
      <c r="I47" s="51"/>
      <c r="J47" s="51"/>
      <c r="K47" s="51"/>
      <c r="L47" s="51"/>
      <c r="M47" s="51"/>
      <c r="N47" s="51"/>
      <c r="O47" s="51"/>
      <c r="P47" s="51"/>
    </row>
  </sheetData>
  <autoFilter ref="A1:O47" xr:uid="{80247FB8-136A-4933-95C9-3C868BAFF7EA}">
    <sortState xmlns:xlrd2="http://schemas.microsoft.com/office/spreadsheetml/2017/richdata2" ref="A2:O47">
      <sortCondition ref="B1:B47"/>
    </sortState>
  </autoFilter>
  <phoneticPr fontId="1" type="noConversion"/>
  <conditionalFormatting sqref="D2:P47">
    <cfRule type="containsBlanks" dxfId="3" priority="1">
      <formula>LEN(TRIM(D2))=0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C3C0-AB88-4B4F-B3DD-7EB7A5BD0A42}">
  <sheetPr codeName="Sheet2"/>
  <dimension ref="A1:P78"/>
  <sheetViews>
    <sheetView topLeftCell="A26" zoomScaleNormal="100" workbookViewId="0">
      <selection activeCell="B29" sqref="A1:M91"/>
    </sheetView>
  </sheetViews>
  <sheetFormatPr defaultColWidth="4.85546875" defaultRowHeight="15"/>
  <cols>
    <col min="1" max="1" width="8.42578125" style="2" bestFit="1" customWidth="1"/>
    <col min="2" max="2" width="43.42578125" bestFit="1" customWidth="1"/>
    <col min="3" max="3" width="38.7109375" customWidth="1"/>
    <col min="4" max="4" width="7.5703125" bestFit="1" customWidth="1"/>
    <col min="5" max="5" width="50.42578125" bestFit="1" customWidth="1"/>
    <col min="6" max="6" width="7.5703125" bestFit="1" customWidth="1"/>
    <col min="7" max="7" width="20.5703125" bestFit="1" customWidth="1"/>
    <col min="8" max="8" width="7.5703125" bestFit="1" customWidth="1"/>
    <col min="9" max="9" width="19.140625" bestFit="1" customWidth="1"/>
    <col min="10" max="10" width="7.5703125" bestFit="1" customWidth="1"/>
    <col min="11" max="11" width="24.7109375" bestFit="1" customWidth="1"/>
    <col min="12" max="12" width="7.5703125" bestFit="1" customWidth="1"/>
    <col min="13" max="13" width="7.85546875" bestFit="1" customWidth="1"/>
    <col min="14" max="14" width="7.5703125" bestFit="1" customWidth="1"/>
    <col min="15" max="15" width="8.5703125" bestFit="1" customWidth="1"/>
  </cols>
  <sheetData>
    <row r="1" spans="1:16">
      <c r="A1" s="2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</row>
    <row r="2" spans="1:16">
      <c r="A2" s="2" t="s">
        <v>142</v>
      </c>
      <c r="B2" t="s">
        <v>143</v>
      </c>
      <c r="C2" t="s">
        <v>144</v>
      </c>
      <c r="D2">
        <v>8</v>
      </c>
      <c r="E2" t="s">
        <v>68</v>
      </c>
      <c r="F2">
        <v>8</v>
      </c>
      <c r="G2" t="s">
        <v>145</v>
      </c>
      <c r="H2">
        <v>16</v>
      </c>
      <c r="I2" t="s">
        <v>146</v>
      </c>
      <c r="J2">
        <v>16</v>
      </c>
    </row>
    <row r="3" spans="1:16">
      <c r="A3" s="2" t="s">
        <v>147</v>
      </c>
      <c r="B3" t="s">
        <v>148</v>
      </c>
      <c r="C3" t="s">
        <v>149</v>
      </c>
      <c r="D3">
        <v>8</v>
      </c>
      <c r="E3" t="s">
        <v>83</v>
      </c>
      <c r="F3">
        <v>8</v>
      </c>
      <c r="G3" t="s">
        <v>84</v>
      </c>
      <c r="H3">
        <v>8</v>
      </c>
      <c r="I3" t="s">
        <v>83</v>
      </c>
      <c r="J3">
        <v>32</v>
      </c>
      <c r="K3" t="s">
        <v>150</v>
      </c>
      <c r="L3">
        <v>16</v>
      </c>
    </row>
    <row r="4" spans="1:16">
      <c r="A4" s="2" t="s">
        <v>151</v>
      </c>
      <c r="B4" t="s">
        <v>152</v>
      </c>
      <c r="C4" t="s">
        <v>153</v>
      </c>
      <c r="D4">
        <v>8</v>
      </c>
    </row>
    <row r="5" spans="1:16">
      <c r="A5" s="2" t="s">
        <v>154</v>
      </c>
      <c r="B5" t="s">
        <v>155</v>
      </c>
      <c r="C5" t="s">
        <v>156</v>
      </c>
      <c r="D5">
        <v>8</v>
      </c>
    </row>
    <row r="6" spans="1:16">
      <c r="A6" s="2" t="s">
        <v>157</v>
      </c>
      <c r="B6" t="s">
        <v>158</v>
      </c>
      <c r="C6" t="s">
        <v>159</v>
      </c>
      <c r="D6">
        <v>8</v>
      </c>
      <c r="E6" t="s">
        <v>160</v>
      </c>
      <c r="F6">
        <v>8</v>
      </c>
    </row>
    <row r="7" spans="1:16">
      <c r="A7" s="2" t="s">
        <v>161</v>
      </c>
      <c r="B7" t="s">
        <v>162</v>
      </c>
      <c r="C7" t="s">
        <v>163</v>
      </c>
      <c r="D7">
        <v>8</v>
      </c>
    </row>
    <row r="8" spans="1:16">
      <c r="A8" s="2" t="s">
        <v>164</v>
      </c>
      <c r="B8" t="s">
        <v>165</v>
      </c>
      <c r="C8" t="s">
        <v>166</v>
      </c>
      <c r="D8">
        <v>8</v>
      </c>
      <c r="E8" t="s">
        <v>167</v>
      </c>
      <c r="F8">
        <v>8</v>
      </c>
    </row>
    <row r="9" spans="1:16">
      <c r="A9" s="2" t="s">
        <v>168</v>
      </c>
      <c r="B9" t="s">
        <v>169</v>
      </c>
      <c r="C9" t="s">
        <v>170</v>
      </c>
      <c r="D9">
        <v>8</v>
      </c>
      <c r="E9" t="s">
        <v>171</v>
      </c>
      <c r="F9">
        <v>8</v>
      </c>
    </row>
    <row r="10" spans="1:16" ht="22.5" customHeight="1">
      <c r="A10" s="2" t="s">
        <v>172</v>
      </c>
      <c r="B10" t="s">
        <v>173</v>
      </c>
      <c r="C10" t="s">
        <v>174</v>
      </c>
      <c r="D10">
        <v>8</v>
      </c>
      <c r="E10" t="s">
        <v>175</v>
      </c>
      <c r="F10">
        <v>8</v>
      </c>
    </row>
    <row r="11" spans="1:16">
      <c r="A11" s="2" t="s">
        <v>176</v>
      </c>
      <c r="B11" t="s">
        <v>10</v>
      </c>
      <c r="C11" t="s">
        <v>177</v>
      </c>
      <c r="D11">
        <v>8</v>
      </c>
      <c r="E11" t="s">
        <v>178</v>
      </c>
      <c r="F11">
        <v>8</v>
      </c>
      <c r="G11" t="s">
        <v>179</v>
      </c>
      <c r="H11">
        <v>8</v>
      </c>
      <c r="I11" t="s">
        <v>180</v>
      </c>
      <c r="J11">
        <v>8</v>
      </c>
      <c r="K11" t="s">
        <v>181</v>
      </c>
      <c r="L11">
        <v>8</v>
      </c>
    </row>
    <row r="12" spans="1:16">
      <c r="A12" s="2" t="s">
        <v>182</v>
      </c>
      <c r="B12" t="s">
        <v>3</v>
      </c>
      <c r="C12" t="s">
        <v>183</v>
      </c>
      <c r="D12">
        <v>8</v>
      </c>
    </row>
    <row r="13" spans="1:16">
      <c r="A13" s="2" t="s">
        <v>184</v>
      </c>
      <c r="B13" t="s">
        <v>185</v>
      </c>
      <c r="C13" t="s">
        <v>186</v>
      </c>
      <c r="D13">
        <v>8</v>
      </c>
      <c r="E13" t="s">
        <v>187</v>
      </c>
      <c r="F13">
        <v>8</v>
      </c>
      <c r="G13" t="s">
        <v>188</v>
      </c>
      <c r="H13">
        <v>8</v>
      </c>
      <c r="I13" t="s">
        <v>189</v>
      </c>
      <c r="J13">
        <v>16</v>
      </c>
    </row>
    <row r="14" spans="1:16">
      <c r="A14" s="2" t="s">
        <v>190</v>
      </c>
      <c r="B14" t="s">
        <v>191</v>
      </c>
      <c r="C14" t="s">
        <v>170</v>
      </c>
      <c r="D14">
        <v>8</v>
      </c>
      <c r="E14" t="s">
        <v>192</v>
      </c>
      <c r="F14">
        <v>16</v>
      </c>
    </row>
    <row r="15" spans="1:16">
      <c r="A15" s="2" t="s">
        <v>193</v>
      </c>
      <c r="B15" t="s">
        <v>194</v>
      </c>
      <c r="C15" t="s">
        <v>170</v>
      </c>
      <c r="D15">
        <v>8</v>
      </c>
      <c r="E15" t="s">
        <v>195</v>
      </c>
      <c r="F15">
        <v>16</v>
      </c>
    </row>
    <row r="16" spans="1:16">
      <c r="A16" s="2" t="s">
        <v>196</v>
      </c>
      <c r="B16" t="s">
        <v>197</v>
      </c>
      <c r="C16" t="s">
        <v>170</v>
      </c>
      <c r="D16">
        <v>8</v>
      </c>
      <c r="E16" t="s">
        <v>198</v>
      </c>
      <c r="F16">
        <v>16</v>
      </c>
      <c r="G16" t="s">
        <v>199</v>
      </c>
      <c r="H16">
        <v>8</v>
      </c>
    </row>
    <row r="17" spans="1:12">
      <c r="A17" s="2" t="s">
        <v>200</v>
      </c>
      <c r="B17" t="s">
        <v>201</v>
      </c>
      <c r="C17" t="s">
        <v>170</v>
      </c>
      <c r="D17">
        <v>8</v>
      </c>
      <c r="E17" t="s">
        <v>202</v>
      </c>
      <c r="F17">
        <v>16</v>
      </c>
    </row>
    <row r="18" spans="1:12">
      <c r="A18" s="5" t="s">
        <v>203</v>
      </c>
      <c r="B18" s="6" t="s">
        <v>204</v>
      </c>
    </row>
    <row r="19" spans="1:12">
      <c r="A19" s="5" t="s">
        <v>205</v>
      </c>
      <c r="B19" s="6" t="s">
        <v>206</v>
      </c>
    </row>
    <row r="20" spans="1:12">
      <c r="A20" s="5" t="s">
        <v>207</v>
      </c>
      <c r="B20" s="6" t="s">
        <v>208</v>
      </c>
    </row>
    <row r="21" spans="1:12">
      <c r="A21" s="5" t="s">
        <v>209</v>
      </c>
      <c r="B21" s="6" t="s">
        <v>210</v>
      </c>
    </row>
    <row r="22" spans="1:12">
      <c r="A22" s="2" t="s">
        <v>211</v>
      </c>
      <c r="B22" t="s">
        <v>212</v>
      </c>
      <c r="C22" t="s">
        <v>170</v>
      </c>
      <c r="D22">
        <v>8</v>
      </c>
      <c r="E22" t="s">
        <v>178</v>
      </c>
      <c r="F22">
        <v>8</v>
      </c>
      <c r="G22" t="s">
        <v>179</v>
      </c>
      <c r="H22">
        <v>8</v>
      </c>
    </row>
    <row r="23" spans="1:12">
      <c r="A23" s="5" t="s">
        <v>213</v>
      </c>
      <c r="B23" s="6" t="s">
        <v>214</v>
      </c>
    </row>
    <row r="24" spans="1:12">
      <c r="A24" s="5" t="s">
        <v>215</v>
      </c>
      <c r="B24" s="6" t="s">
        <v>216</v>
      </c>
    </row>
    <row r="25" spans="1:12">
      <c r="A25" s="5" t="s">
        <v>217</v>
      </c>
      <c r="B25" s="6" t="s">
        <v>218</v>
      </c>
    </row>
    <row r="26" spans="1:12">
      <c r="A26" s="5" t="s">
        <v>219</v>
      </c>
      <c r="B26" s="6" t="s">
        <v>220</v>
      </c>
    </row>
    <row r="27" spans="1:12">
      <c r="A27" s="5" t="s">
        <v>221</v>
      </c>
      <c r="B27" s="6" t="s">
        <v>222</v>
      </c>
    </row>
    <row r="28" spans="1:12">
      <c r="A28" s="5" t="s">
        <v>223</v>
      </c>
      <c r="B28" s="6" t="s">
        <v>224</v>
      </c>
    </row>
    <row r="29" spans="1:12" ht="183.75" customHeight="1">
      <c r="A29" s="2" t="s">
        <v>225</v>
      </c>
      <c r="B29" t="s">
        <v>226</v>
      </c>
      <c r="C29" s="3" t="s">
        <v>227</v>
      </c>
      <c r="D29">
        <v>8</v>
      </c>
      <c r="E29" t="s">
        <v>49</v>
      </c>
      <c r="F29">
        <v>16</v>
      </c>
    </row>
    <row r="30" spans="1:12">
      <c r="A30" s="2" t="s">
        <v>228</v>
      </c>
      <c r="B30" t="s">
        <v>229</v>
      </c>
      <c r="C30" t="s">
        <v>230</v>
      </c>
      <c r="D30">
        <v>16</v>
      </c>
      <c r="E30" t="s">
        <v>231</v>
      </c>
      <c r="F30">
        <v>8</v>
      </c>
      <c r="G30" t="s">
        <v>232</v>
      </c>
      <c r="H30">
        <v>16</v>
      </c>
      <c r="I30" t="s">
        <v>233</v>
      </c>
      <c r="J30">
        <v>16</v>
      </c>
      <c r="K30" t="s">
        <v>234</v>
      </c>
      <c r="L30">
        <v>16</v>
      </c>
    </row>
    <row r="31" spans="1:12">
      <c r="A31" s="2" t="s">
        <v>235</v>
      </c>
      <c r="B31" t="s">
        <v>236</v>
      </c>
      <c r="C31" t="s">
        <v>237</v>
      </c>
      <c r="D31">
        <v>16</v>
      </c>
      <c r="E31" t="s">
        <v>238</v>
      </c>
      <c r="F31">
        <v>16</v>
      </c>
      <c r="G31" t="s">
        <v>239</v>
      </c>
      <c r="H31">
        <v>16</v>
      </c>
      <c r="I31" t="s">
        <v>240</v>
      </c>
      <c r="J31">
        <v>16</v>
      </c>
    </row>
    <row r="32" spans="1:12">
      <c r="A32" s="2" t="s">
        <v>241</v>
      </c>
      <c r="B32" t="s">
        <v>19</v>
      </c>
      <c r="C32" t="s">
        <v>242</v>
      </c>
      <c r="D32">
        <v>8</v>
      </c>
      <c r="E32" t="s">
        <v>243</v>
      </c>
      <c r="F32">
        <v>64</v>
      </c>
    </row>
    <row r="33" spans="1:16">
      <c r="A33" s="2" t="s">
        <v>244</v>
      </c>
      <c r="B33" t="s">
        <v>245</v>
      </c>
      <c r="C33" t="s">
        <v>246</v>
      </c>
      <c r="D33">
        <v>8</v>
      </c>
      <c r="E33" t="s">
        <v>247</v>
      </c>
      <c r="F33">
        <v>8</v>
      </c>
      <c r="G33" t="s">
        <v>248</v>
      </c>
      <c r="H33">
        <v>8</v>
      </c>
    </row>
    <row r="34" spans="1:16">
      <c r="A34" s="5" t="s">
        <v>249</v>
      </c>
      <c r="B34" s="6" t="s">
        <v>250</v>
      </c>
    </row>
    <row r="35" spans="1:16">
      <c r="A35" s="5" t="s">
        <v>251</v>
      </c>
      <c r="B35" s="6" t="s">
        <v>252</v>
      </c>
    </row>
    <row r="36" spans="1:16">
      <c r="A36" s="2" t="s">
        <v>253</v>
      </c>
      <c r="B36" t="s">
        <v>254</v>
      </c>
      <c r="C36" t="s">
        <v>255</v>
      </c>
      <c r="D36">
        <v>8</v>
      </c>
      <c r="E36" t="s">
        <v>256</v>
      </c>
      <c r="F36">
        <v>64</v>
      </c>
    </row>
    <row r="37" spans="1:16">
      <c r="A37" s="2" t="s">
        <v>257</v>
      </c>
      <c r="B37" t="s">
        <v>57</v>
      </c>
      <c r="C37" t="s">
        <v>258</v>
      </c>
      <c r="D37">
        <v>8</v>
      </c>
      <c r="E37" t="s">
        <v>259</v>
      </c>
      <c r="F37">
        <v>8</v>
      </c>
      <c r="G37" t="s">
        <v>260</v>
      </c>
      <c r="H37">
        <v>8</v>
      </c>
      <c r="I37" t="s">
        <v>261</v>
      </c>
      <c r="J37">
        <v>8</v>
      </c>
      <c r="K37" t="s">
        <v>262</v>
      </c>
      <c r="L37">
        <v>8</v>
      </c>
      <c r="M37" t="s">
        <v>263</v>
      </c>
      <c r="N37">
        <v>8</v>
      </c>
      <c r="O37" t="s">
        <v>264</v>
      </c>
      <c r="P37">
        <v>8</v>
      </c>
    </row>
    <row r="42" spans="1:16">
      <c r="A42" s="2" t="s">
        <v>265</v>
      </c>
      <c r="B42" s="2" t="s">
        <v>266</v>
      </c>
    </row>
    <row r="43" spans="1:16">
      <c r="A43" s="2" t="s">
        <v>147</v>
      </c>
      <c r="B43" s="2" t="s">
        <v>267</v>
      </c>
    </row>
    <row r="44" spans="1:16">
      <c r="A44" s="2" t="s">
        <v>151</v>
      </c>
      <c r="B44" s="2" t="s">
        <v>268</v>
      </c>
    </row>
    <row r="45" spans="1:16">
      <c r="A45" s="2" t="s">
        <v>154</v>
      </c>
      <c r="B45" s="2" t="s">
        <v>269</v>
      </c>
    </row>
    <row r="46" spans="1:16">
      <c r="A46" s="2" t="s">
        <v>257</v>
      </c>
      <c r="B46" s="2" t="s">
        <v>270</v>
      </c>
    </row>
    <row r="47" spans="1:16">
      <c r="A47" s="2" t="s">
        <v>271</v>
      </c>
      <c r="B47" s="2" t="s">
        <v>272</v>
      </c>
    </row>
    <row r="48" spans="1:16">
      <c r="A48" s="2" t="s">
        <v>157</v>
      </c>
      <c r="B48" s="2" t="s">
        <v>273</v>
      </c>
    </row>
    <row r="49" spans="1:2">
      <c r="A49" s="2" t="s">
        <v>161</v>
      </c>
      <c r="B49" s="2" t="s">
        <v>274</v>
      </c>
    </row>
    <row r="50" spans="1:2">
      <c r="A50" s="2" t="s">
        <v>164</v>
      </c>
      <c r="B50" s="2" t="s">
        <v>275</v>
      </c>
    </row>
    <row r="51" spans="1:2">
      <c r="A51" s="2" t="s">
        <v>168</v>
      </c>
      <c r="B51" s="2" t="s">
        <v>276</v>
      </c>
    </row>
    <row r="52" spans="1:2">
      <c r="A52" s="2" t="s">
        <v>172</v>
      </c>
      <c r="B52" s="2" t="s">
        <v>277</v>
      </c>
    </row>
    <row r="53" spans="1:2">
      <c r="A53" s="2" t="s">
        <v>278</v>
      </c>
      <c r="B53" s="2" t="s">
        <v>279</v>
      </c>
    </row>
    <row r="54" spans="1:2">
      <c r="A54" s="2" t="s">
        <v>280</v>
      </c>
      <c r="B54" s="2" t="s">
        <v>281</v>
      </c>
    </row>
    <row r="55" spans="1:2">
      <c r="A55" s="2" t="s">
        <v>176</v>
      </c>
      <c r="B55" s="2" t="s">
        <v>282</v>
      </c>
    </row>
    <row r="56" spans="1:2">
      <c r="A56" s="2" t="s">
        <v>182</v>
      </c>
      <c r="B56" s="2" t="s">
        <v>283</v>
      </c>
    </row>
    <row r="57" spans="1:2">
      <c r="A57" s="2" t="s">
        <v>184</v>
      </c>
      <c r="B57" s="2" t="s">
        <v>284</v>
      </c>
    </row>
    <row r="58" spans="1:2">
      <c r="A58" s="2" t="s">
        <v>190</v>
      </c>
      <c r="B58" s="2" t="s">
        <v>285</v>
      </c>
    </row>
    <row r="59" spans="1:2">
      <c r="A59" s="2" t="s">
        <v>193</v>
      </c>
      <c r="B59" s="2" t="s">
        <v>286</v>
      </c>
    </row>
    <row r="60" spans="1:2">
      <c r="A60" s="2" t="s">
        <v>287</v>
      </c>
      <c r="B60" s="2" t="s">
        <v>288</v>
      </c>
    </row>
    <row r="61" spans="1:2">
      <c r="A61" s="2" t="s">
        <v>196</v>
      </c>
      <c r="B61" s="2" t="s">
        <v>289</v>
      </c>
    </row>
    <row r="62" spans="1:2">
      <c r="A62" s="2" t="s">
        <v>200</v>
      </c>
      <c r="B62" s="2" t="s">
        <v>290</v>
      </c>
    </row>
    <row r="63" spans="1:2">
      <c r="A63" s="2" t="s">
        <v>203</v>
      </c>
      <c r="B63" s="2" t="s">
        <v>291</v>
      </c>
    </row>
    <row r="64" spans="1:2">
      <c r="A64" s="2" t="s">
        <v>205</v>
      </c>
      <c r="B64" s="2" t="s">
        <v>292</v>
      </c>
    </row>
    <row r="65" spans="1:2">
      <c r="A65" s="2" t="s">
        <v>207</v>
      </c>
      <c r="B65" s="2" t="s">
        <v>293</v>
      </c>
    </row>
    <row r="66" spans="1:2">
      <c r="A66" s="2" t="s">
        <v>209</v>
      </c>
      <c r="B66" s="2" t="s">
        <v>294</v>
      </c>
    </row>
    <row r="67" spans="1:2">
      <c r="A67" s="2" t="s">
        <v>211</v>
      </c>
      <c r="B67" s="2" t="s">
        <v>295</v>
      </c>
    </row>
    <row r="68" spans="1:2">
      <c r="A68" s="2" t="s">
        <v>213</v>
      </c>
      <c r="B68" s="2" t="s">
        <v>296</v>
      </c>
    </row>
    <row r="69" spans="1:2">
      <c r="A69" s="2" t="s">
        <v>297</v>
      </c>
      <c r="B69" s="2" t="s">
        <v>298</v>
      </c>
    </row>
    <row r="70" spans="1:2">
      <c r="A70" s="2" t="s">
        <v>215</v>
      </c>
      <c r="B70" s="2" t="s">
        <v>299</v>
      </c>
    </row>
    <row r="71" spans="1:2">
      <c r="A71" s="2" t="s">
        <v>217</v>
      </c>
      <c r="B71" s="2" t="s">
        <v>300</v>
      </c>
    </row>
    <row r="72" spans="1:2">
      <c r="A72" s="2" t="s">
        <v>219</v>
      </c>
      <c r="B72" s="2" t="s">
        <v>301</v>
      </c>
    </row>
    <row r="73" spans="1:2">
      <c r="A73" s="2" t="s">
        <v>221</v>
      </c>
      <c r="B73" s="2" t="s">
        <v>302</v>
      </c>
    </row>
    <row r="74" spans="1:2">
      <c r="A74" s="2" t="s">
        <v>223</v>
      </c>
      <c r="B74" s="2" t="s">
        <v>303</v>
      </c>
    </row>
    <row r="75" spans="1:2">
      <c r="A75" s="2" t="s">
        <v>304</v>
      </c>
      <c r="B75" s="2" t="s">
        <v>305</v>
      </c>
    </row>
    <row r="76" spans="1:2">
      <c r="A76" s="2" t="s">
        <v>306</v>
      </c>
      <c r="B76" s="52" t="s">
        <v>307</v>
      </c>
    </row>
    <row r="77" spans="1:2">
      <c r="A77" s="2" t="s">
        <v>308</v>
      </c>
      <c r="B77" s="52" t="s">
        <v>309</v>
      </c>
    </row>
    <row r="78" spans="1:2">
      <c r="A78" s="2" t="s">
        <v>310</v>
      </c>
      <c r="B78" s="53" t="s">
        <v>311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7690-B477-47CA-948D-190FB544A139}">
  <dimension ref="A1:V79"/>
  <sheetViews>
    <sheetView tabSelected="1" topLeftCell="A25" zoomScaleNormal="100" workbookViewId="0">
      <selection activeCell="O40" sqref="O1:O1048576"/>
    </sheetView>
  </sheetViews>
  <sheetFormatPr defaultColWidth="23.42578125" defaultRowHeight="15"/>
  <cols>
    <col min="1" max="1" width="4.28515625" style="58" bestFit="1" customWidth="1"/>
    <col min="2" max="2" width="19.5703125" style="34" bestFit="1" customWidth="1"/>
    <col min="3" max="3" width="28.140625" style="34" bestFit="1" customWidth="1"/>
    <col min="4" max="4" width="32.85546875" style="34" bestFit="1" customWidth="1"/>
    <col min="5" max="5" width="17.28515625" style="34" bestFit="1" customWidth="1"/>
    <col min="6" max="6" width="17.7109375" style="34" bestFit="1" customWidth="1"/>
    <col min="7" max="7" width="14.28515625" style="34" bestFit="1" customWidth="1"/>
    <col min="8" max="8" width="19.5703125" style="34" bestFit="1" customWidth="1"/>
    <col min="9" max="9" width="24" style="34" bestFit="1" customWidth="1"/>
    <col min="10" max="10" width="38.7109375" style="34" bestFit="1" customWidth="1"/>
    <col min="11" max="11" width="24.140625" style="34" bestFit="1" customWidth="1"/>
    <col min="12" max="12" width="36.7109375" style="34" bestFit="1" customWidth="1"/>
    <col min="13" max="13" width="45.42578125" style="34" bestFit="1" customWidth="1"/>
    <col min="14" max="14" width="42.7109375" style="34" bestFit="1" customWidth="1"/>
    <col min="15" max="15" width="40.5703125" style="34" bestFit="1" customWidth="1"/>
    <col min="16" max="16" width="85.42578125" style="34" bestFit="1" customWidth="1"/>
    <col min="17" max="17" width="30.7109375" style="34" bestFit="1" customWidth="1"/>
    <col min="18" max="18" width="26.85546875" style="34" bestFit="1" customWidth="1"/>
    <col min="19" max="19" width="25.7109375" style="34" bestFit="1" customWidth="1"/>
    <col min="20" max="20" width="25.42578125" style="34" bestFit="1" customWidth="1"/>
    <col min="21" max="21" width="9" style="34" bestFit="1" customWidth="1"/>
    <col min="22" max="22" width="20.140625" style="34" bestFit="1" customWidth="1"/>
    <col min="23" max="16384" width="23.42578125" style="34"/>
  </cols>
  <sheetData>
    <row r="1" spans="1:22" s="25" customFormat="1">
      <c r="A1" s="58" t="s">
        <v>0</v>
      </c>
      <c r="B1" s="25" t="s">
        <v>312</v>
      </c>
      <c r="C1" s="35" t="s">
        <v>313</v>
      </c>
      <c r="D1" s="34" t="s">
        <v>314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s="25" customFormat="1" ht="51.75">
      <c r="A2" s="58" t="s">
        <v>315</v>
      </c>
      <c r="B2" s="46" t="s">
        <v>316</v>
      </c>
      <c r="C2" s="49" t="s">
        <v>317</v>
      </c>
      <c r="D2" s="43" t="s">
        <v>318</v>
      </c>
      <c r="E2" s="26" t="s">
        <v>319</v>
      </c>
      <c r="F2" s="26" t="s">
        <v>320</v>
      </c>
      <c r="G2" s="26" t="s">
        <v>321</v>
      </c>
      <c r="H2" s="26" t="s">
        <v>322</v>
      </c>
      <c r="I2" s="26" t="s">
        <v>323</v>
      </c>
      <c r="J2" s="27" t="s">
        <v>324</v>
      </c>
      <c r="K2" s="27" t="s">
        <v>128</v>
      </c>
      <c r="L2" s="27" t="s">
        <v>130</v>
      </c>
      <c r="M2" s="27" t="s">
        <v>132</v>
      </c>
      <c r="N2" s="27" t="s">
        <v>134</v>
      </c>
      <c r="O2" s="27" t="s">
        <v>136</v>
      </c>
      <c r="P2" s="27" t="s">
        <v>316</v>
      </c>
      <c r="Q2" s="34"/>
      <c r="R2" s="34"/>
      <c r="S2" s="34"/>
      <c r="T2" s="34"/>
      <c r="U2" s="34"/>
      <c r="V2" s="34"/>
    </row>
    <row r="3" spans="1:22" s="25" customFormat="1">
      <c r="A3" s="58" t="s">
        <v>325</v>
      </c>
      <c r="B3" s="47" t="str">
        <f>P3</f>
        <v>1100FFFFFFFFFFFF</v>
      </c>
      <c r="C3" s="50" t="s">
        <v>317</v>
      </c>
      <c r="D3" s="48" t="s">
        <v>326</v>
      </c>
      <c r="E3" s="24" t="s">
        <v>327</v>
      </c>
      <c r="F3" s="24">
        <v>127</v>
      </c>
      <c r="G3" s="24">
        <v>2.5499999999999998</v>
      </c>
      <c r="H3" s="24">
        <v>655.35</v>
      </c>
      <c r="I3" s="24">
        <v>655.35</v>
      </c>
      <c r="J3" s="32" t="s">
        <v>193</v>
      </c>
      <c r="K3" s="29" t="str">
        <f>"0"&amp;IF(D3="Threshold","0","1")</f>
        <v>00</v>
      </c>
      <c r="L3" s="29" t="str">
        <f>IF(E3="Minutes",DEC2HEX(128+F3),DEC2HEX(F3,2))</f>
        <v>FF</v>
      </c>
      <c r="M3" s="29" t="str">
        <f>DEC2HEX(INT(G3*100),2)</f>
        <v>FF</v>
      </c>
      <c r="N3" s="29" t="str">
        <f>DEC2HEX(INT(H3*100),4)</f>
        <v>FFFF</v>
      </c>
      <c r="O3" s="29" t="str">
        <f>DEC2HEX(INT(I3*100),4)</f>
        <v>FFFF</v>
      </c>
      <c r="P3" s="30" t="str">
        <f>J3&amp;K3&amp;L3&amp;M3&amp;N3&amp;O3</f>
        <v>1100FFFFFFFFFFFF</v>
      </c>
      <c r="Q3" s="34"/>
      <c r="R3" s="34"/>
      <c r="S3" s="34"/>
      <c r="T3" s="34"/>
      <c r="U3" s="34"/>
      <c r="V3" s="34"/>
    </row>
    <row r="4" spans="1:22" s="25" customFormat="1" ht="39">
      <c r="A4" s="58" t="s">
        <v>328</v>
      </c>
      <c r="B4" s="27" t="s">
        <v>316</v>
      </c>
      <c r="C4" s="49" t="s">
        <v>3</v>
      </c>
      <c r="D4" s="26" t="s">
        <v>329</v>
      </c>
      <c r="E4" s="26" t="s">
        <v>330</v>
      </c>
      <c r="F4" s="26" t="s">
        <v>331</v>
      </c>
      <c r="G4" s="26" t="s">
        <v>332</v>
      </c>
      <c r="H4" s="26" t="s">
        <v>333</v>
      </c>
      <c r="I4" s="27" t="s">
        <v>324</v>
      </c>
      <c r="J4" s="27" t="s">
        <v>128</v>
      </c>
      <c r="K4" s="27" t="s">
        <v>130</v>
      </c>
      <c r="L4" s="27" t="s">
        <v>132</v>
      </c>
      <c r="M4" s="27" t="s">
        <v>134</v>
      </c>
      <c r="N4" s="27" t="s">
        <v>316</v>
      </c>
      <c r="O4" s="34"/>
      <c r="P4" s="34"/>
      <c r="Q4" s="34"/>
      <c r="R4" s="34"/>
      <c r="S4" s="34"/>
      <c r="T4" s="34"/>
      <c r="U4" s="34"/>
      <c r="V4" s="34"/>
    </row>
    <row r="5" spans="1:22" s="25" customFormat="1">
      <c r="A5" s="58" t="s">
        <v>334</v>
      </c>
      <c r="B5" s="30" t="str">
        <f>N5</f>
        <v>0E7FFF0000000000</v>
      </c>
      <c r="C5" s="50" t="s">
        <v>3</v>
      </c>
      <c r="D5" s="24">
        <v>127</v>
      </c>
      <c r="E5" s="24">
        <v>63.75</v>
      </c>
      <c r="F5" s="36" t="s">
        <v>335</v>
      </c>
      <c r="G5" s="24" t="s">
        <v>336</v>
      </c>
      <c r="H5" s="24" t="s">
        <v>336</v>
      </c>
      <c r="I5" s="32" t="s">
        <v>182</v>
      </c>
      <c r="J5" s="29" t="str">
        <f>DEC2HEX(D5,2)</f>
        <v>7F</v>
      </c>
      <c r="K5" s="29" t="str">
        <f>DEC2HEX(INT(E5*4),2)</f>
        <v>FF</v>
      </c>
      <c r="L5" s="29" t="str">
        <f>IF(F5="+/-2g","00",IF(F5="+/-4g","01",IF(F5="+/-8g","02",IF(F5="+/-16g","03"))))</f>
        <v>00</v>
      </c>
      <c r="M5" s="29" t="str">
        <f>"0"&amp;DEC2HEX(IF(G5="Yes",0,1)+IF(H5="Yes",0,2))</f>
        <v>00</v>
      </c>
      <c r="N5" s="30" t="str">
        <f>I5&amp;J5&amp;K5&amp;L5&amp;M5&amp;"000000"</f>
        <v>0E7FFF0000000000</v>
      </c>
      <c r="O5" s="34"/>
      <c r="P5" s="34"/>
      <c r="Q5" s="34"/>
      <c r="R5" s="34"/>
      <c r="S5" s="34"/>
      <c r="T5" s="34"/>
      <c r="U5" s="34"/>
      <c r="V5" s="34"/>
    </row>
    <row r="6" spans="1:22" s="25" customFormat="1" ht="39">
      <c r="A6" s="58" t="s">
        <v>337</v>
      </c>
      <c r="B6" s="27" t="s">
        <v>316</v>
      </c>
      <c r="C6" s="49" t="s">
        <v>338</v>
      </c>
      <c r="D6" s="26" t="s">
        <v>339</v>
      </c>
      <c r="E6" s="26" t="s">
        <v>340</v>
      </c>
      <c r="F6" s="26" t="s">
        <v>341</v>
      </c>
      <c r="G6" s="26" t="s">
        <v>342</v>
      </c>
      <c r="H6" s="27" t="s">
        <v>324</v>
      </c>
      <c r="I6" s="27" t="s">
        <v>128</v>
      </c>
      <c r="J6" s="27" t="s">
        <v>130</v>
      </c>
      <c r="K6" s="27" t="s">
        <v>132</v>
      </c>
      <c r="L6" s="27" t="s">
        <v>134</v>
      </c>
      <c r="M6" s="27" t="s">
        <v>316</v>
      </c>
      <c r="N6" s="34"/>
      <c r="O6" s="34"/>
      <c r="P6" s="34"/>
      <c r="Q6" s="34"/>
      <c r="R6" s="34"/>
      <c r="S6" s="34"/>
      <c r="T6" s="34"/>
      <c r="U6" s="34"/>
      <c r="V6" s="34"/>
    </row>
    <row r="7" spans="1:22" s="25" customFormat="1">
      <c r="A7" s="58" t="s">
        <v>343</v>
      </c>
      <c r="B7" s="30" t="s">
        <v>344</v>
      </c>
      <c r="C7" s="50" t="s">
        <v>338</v>
      </c>
      <c r="D7" s="24">
        <v>255</v>
      </c>
      <c r="E7" s="24">
        <v>255</v>
      </c>
      <c r="F7" s="24">
        <v>255</v>
      </c>
      <c r="G7" s="24">
        <v>255</v>
      </c>
      <c r="H7" s="29" t="s">
        <v>345</v>
      </c>
      <c r="I7" s="29" t="str">
        <f>DEC2HEX(D7,2)</f>
        <v>FF</v>
      </c>
      <c r="J7" s="29" t="str">
        <f>DEC2HEX(E7,2)</f>
        <v>FF</v>
      </c>
      <c r="K7" s="29" t="str">
        <f>DEC2HEX(F7,2)</f>
        <v>FF</v>
      </c>
      <c r="L7" s="29" t="str">
        <f>DEC2HEX(G7,2)</f>
        <v>FF</v>
      </c>
      <c r="M7" s="30" t="str">
        <f>H7&amp;I7&amp;J7&amp;K7&amp;L7&amp;"000000"</f>
        <v>EFFFFFFFFF000000</v>
      </c>
      <c r="N7" s="34"/>
      <c r="O7" s="34"/>
      <c r="P7" s="34"/>
      <c r="Q7" s="34"/>
      <c r="R7" s="34"/>
      <c r="S7" s="34"/>
      <c r="T7" s="34"/>
      <c r="U7" s="34"/>
      <c r="V7" s="34"/>
    </row>
    <row r="8" spans="1:22" s="28" customFormat="1" ht="39">
      <c r="A8" s="58" t="s">
        <v>346</v>
      </c>
      <c r="B8" s="27" t="s">
        <v>316</v>
      </c>
      <c r="C8" s="49" t="s">
        <v>347</v>
      </c>
      <c r="D8" s="26" t="s">
        <v>348</v>
      </c>
      <c r="E8" s="26" t="s">
        <v>349</v>
      </c>
      <c r="F8" s="26" t="s">
        <v>350</v>
      </c>
      <c r="G8" s="26" t="s">
        <v>351</v>
      </c>
      <c r="H8" s="27" t="s">
        <v>324</v>
      </c>
      <c r="I8" s="27" t="s">
        <v>128</v>
      </c>
      <c r="J8" s="27" t="s">
        <v>130</v>
      </c>
      <c r="K8" s="27" t="s">
        <v>132</v>
      </c>
      <c r="L8" s="27" t="s">
        <v>316</v>
      </c>
      <c r="M8" s="34"/>
      <c r="N8" s="34"/>
      <c r="O8" s="34"/>
      <c r="P8" s="34"/>
      <c r="Q8" s="34"/>
      <c r="R8" s="34"/>
      <c r="S8" s="34"/>
      <c r="T8" s="34"/>
      <c r="U8" s="34"/>
      <c r="V8" s="34"/>
    </row>
    <row r="9" spans="1:22" s="25" customFormat="1">
      <c r="A9" s="58" t="s">
        <v>352</v>
      </c>
      <c r="B9" s="30" t="s">
        <v>65</v>
      </c>
      <c r="C9" s="50" t="s">
        <v>347</v>
      </c>
      <c r="D9" s="24">
        <v>0</v>
      </c>
      <c r="E9" s="24">
        <v>0</v>
      </c>
      <c r="F9" s="24" t="s">
        <v>327</v>
      </c>
      <c r="G9" s="24">
        <v>1</v>
      </c>
      <c r="H9" s="29" t="s">
        <v>249</v>
      </c>
      <c r="I9" s="29" t="str">
        <f>DEC2HEX(D9,2)</f>
        <v>00</v>
      </c>
      <c r="J9" s="29" t="str">
        <f>DEC2HEX(E9,2)</f>
        <v>00</v>
      </c>
      <c r="K9" s="29" t="str">
        <f>IF(F9="Minutes",DEC2HEX(128+G9),DEC2HEX(G9,2))</f>
        <v>81</v>
      </c>
      <c r="L9" s="31" t="str">
        <f>H9&amp;I9&amp;J9&amp;K9&amp;"00000000"</f>
        <v>FC00008100000000</v>
      </c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s="25" customFormat="1" ht="51.75">
      <c r="A10" s="58" t="s">
        <v>353</v>
      </c>
      <c r="B10" s="27" t="s">
        <v>316</v>
      </c>
      <c r="C10" s="49" t="s">
        <v>354</v>
      </c>
      <c r="D10" s="26" t="s">
        <v>318</v>
      </c>
      <c r="E10" s="26" t="s">
        <v>355</v>
      </c>
      <c r="F10" s="26" t="s">
        <v>319</v>
      </c>
      <c r="G10" s="26" t="s">
        <v>320</v>
      </c>
      <c r="H10" s="26" t="s">
        <v>356</v>
      </c>
      <c r="I10" s="26" t="s">
        <v>357</v>
      </c>
      <c r="J10" s="26" t="s">
        <v>358</v>
      </c>
      <c r="K10" s="26" t="s">
        <v>359</v>
      </c>
      <c r="L10" s="26" t="s">
        <v>360</v>
      </c>
      <c r="M10" s="26" t="s">
        <v>361</v>
      </c>
      <c r="N10" s="27" t="s">
        <v>324</v>
      </c>
      <c r="O10" s="27" t="s">
        <v>128</v>
      </c>
      <c r="P10" s="27" t="s">
        <v>130</v>
      </c>
      <c r="Q10" s="27" t="s">
        <v>132</v>
      </c>
      <c r="R10" s="27" t="s">
        <v>134</v>
      </c>
      <c r="S10" s="27" t="s">
        <v>136</v>
      </c>
      <c r="T10" s="27" t="s">
        <v>138</v>
      </c>
      <c r="U10" s="27" t="s">
        <v>140</v>
      </c>
      <c r="V10" s="27" t="s">
        <v>316</v>
      </c>
    </row>
    <row r="11" spans="1:22" s="25" customFormat="1">
      <c r="A11" s="58" t="s">
        <v>190</v>
      </c>
      <c r="B11" s="30" t="str">
        <f>V11</f>
        <v>0D017FFF80806464</v>
      </c>
      <c r="C11" s="50" t="s">
        <v>354</v>
      </c>
      <c r="D11" s="48" t="s">
        <v>362</v>
      </c>
      <c r="E11" s="24" t="s">
        <v>336</v>
      </c>
      <c r="F11" s="24" t="s">
        <v>363</v>
      </c>
      <c r="G11" s="24">
        <v>127</v>
      </c>
      <c r="H11" s="24">
        <v>-128</v>
      </c>
      <c r="I11" s="24">
        <v>-128</v>
      </c>
      <c r="J11" s="24">
        <v>15</v>
      </c>
      <c r="K11" s="24">
        <v>15</v>
      </c>
      <c r="L11" s="24">
        <v>100</v>
      </c>
      <c r="M11" s="24">
        <v>100</v>
      </c>
      <c r="N11" s="32" t="s">
        <v>176</v>
      </c>
      <c r="O11" s="29" t="str">
        <f>IF(D11="Report on Change","01","00")</f>
        <v>01</v>
      </c>
      <c r="P11" s="29" t="str">
        <f>IF(E11="No","00",IF(F11="Minutes",DEC2HEX(G11+128,2),IF(F11="Hours",DEC2HEX(G11,2))))</f>
        <v>7F</v>
      </c>
      <c r="Q11" s="29" t="str">
        <f>DEC2HEX(K11)&amp;DEC2HEX(J11)</f>
        <v>FF</v>
      </c>
      <c r="R11" s="29" t="str">
        <f>IF(LEFT(H11,1)="-",DEC2HEX(H11+256,2),DEC2HEX(H11,2))</f>
        <v>80</v>
      </c>
      <c r="S11" s="29" t="str">
        <f>IF(LEFT(I11,1)="-",DEC2HEX(I11+256,2),DEC2HEX(I11,2))</f>
        <v>80</v>
      </c>
      <c r="T11" s="29" t="str">
        <f>DEC2HEX(L11,2)</f>
        <v>64</v>
      </c>
      <c r="U11" s="29" t="str">
        <f>DEC2HEX(M11,2)</f>
        <v>64</v>
      </c>
      <c r="V11" s="31" t="str">
        <f>N11&amp;O11&amp;P11&amp;Q11&amp;R11&amp;S11&amp;T11&amp;U11</f>
        <v>0D017FFF80806464</v>
      </c>
    </row>
    <row r="12" spans="1:22" s="25" customFormat="1" ht="51.75">
      <c r="A12" s="58" t="s">
        <v>193</v>
      </c>
      <c r="B12" s="27" t="s">
        <v>316</v>
      </c>
      <c r="C12" s="49" t="s">
        <v>23</v>
      </c>
      <c r="D12" s="26" t="s">
        <v>364</v>
      </c>
      <c r="E12" s="26" t="s">
        <v>365</v>
      </c>
      <c r="F12" s="26" t="s">
        <v>366</v>
      </c>
      <c r="G12" s="27" t="s">
        <v>324</v>
      </c>
      <c r="H12" s="27" t="s">
        <v>128</v>
      </c>
      <c r="I12" s="27" t="s">
        <v>130</v>
      </c>
      <c r="J12" s="27" t="s">
        <v>132</v>
      </c>
      <c r="K12" s="27" t="s">
        <v>316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spans="1:22" s="25" customFormat="1">
      <c r="A13" s="58" t="s">
        <v>287</v>
      </c>
      <c r="B13" s="30" t="str">
        <f>K13</f>
        <v>0300FFFFFFFF0000</v>
      </c>
      <c r="C13" s="50" t="s">
        <v>23</v>
      </c>
      <c r="D13" s="24" t="s">
        <v>336</v>
      </c>
      <c r="E13" s="24">
        <v>16383.75</v>
      </c>
      <c r="F13" s="24">
        <v>16383.75</v>
      </c>
      <c r="G13" s="32" t="s">
        <v>154</v>
      </c>
      <c r="H13" s="29" t="str">
        <f>"0"&amp;IF(D13="No","1","0")</f>
        <v>00</v>
      </c>
      <c r="I13" s="29" t="str">
        <f>DEC2HEX(INT(E13*4),4)</f>
        <v>FFFF</v>
      </c>
      <c r="J13" s="29" t="str">
        <f>DEC2HEX(INT(F13*4),4)</f>
        <v>FFFF</v>
      </c>
      <c r="K13" s="30" t="str">
        <f>G13&amp;H13&amp;I13&amp;J13&amp;"0000"</f>
        <v>0300FFFFFFFF0000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 spans="1:22" s="25" customFormat="1" ht="39">
      <c r="A14" s="58" t="s">
        <v>196</v>
      </c>
      <c r="B14" s="27" t="s">
        <v>316</v>
      </c>
      <c r="C14" s="49" t="s">
        <v>367</v>
      </c>
      <c r="D14" s="26" t="s">
        <v>368</v>
      </c>
      <c r="E14" s="26" t="s">
        <v>369</v>
      </c>
      <c r="F14" s="26" t="s">
        <v>370</v>
      </c>
      <c r="G14" s="26" t="s">
        <v>371</v>
      </c>
      <c r="H14" s="27" t="s">
        <v>324</v>
      </c>
      <c r="I14" s="27" t="s">
        <v>128</v>
      </c>
      <c r="J14" s="27" t="s">
        <v>130</v>
      </c>
      <c r="K14" s="27" t="s">
        <v>132</v>
      </c>
      <c r="L14" s="27" t="s">
        <v>316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spans="1:22" s="25" customFormat="1">
      <c r="A15" s="58" t="s">
        <v>200</v>
      </c>
      <c r="B15" s="30" t="str">
        <f>L15</f>
        <v>0701FFFFFFFF0000</v>
      </c>
      <c r="C15" s="50" t="s">
        <v>367</v>
      </c>
      <c r="D15" s="24" t="s">
        <v>372</v>
      </c>
      <c r="E15" s="24" t="s">
        <v>336</v>
      </c>
      <c r="F15" s="24">
        <v>16383.75</v>
      </c>
      <c r="G15" s="24">
        <v>16383.75</v>
      </c>
      <c r="H15" s="32" t="s">
        <v>161</v>
      </c>
      <c r="I15" s="29" t="str">
        <f>"0"&amp;DEC2HEX(IF(D15="Yes",0,1)+IF(E15="Yes",0,2))</f>
        <v>01</v>
      </c>
      <c r="J15" s="29" t="str">
        <f>DEC2HEX(INT(F15*4),4)</f>
        <v>FFFF</v>
      </c>
      <c r="K15" s="29" t="str">
        <f>DEC2HEX(INT(G15*4),4)</f>
        <v>FFFF</v>
      </c>
      <c r="L15" s="30" t="str">
        <f>H15&amp;I15&amp;J15&amp;K15&amp;"0000"</f>
        <v>0701FFFFFFFF0000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</row>
    <row r="16" spans="1:22" s="25" customFormat="1" ht="39">
      <c r="A16" s="58" t="s">
        <v>203</v>
      </c>
      <c r="B16" s="27" t="s">
        <v>316</v>
      </c>
      <c r="C16" s="49" t="s">
        <v>373</v>
      </c>
      <c r="D16" s="26" t="s">
        <v>374</v>
      </c>
      <c r="E16" s="26" t="s">
        <v>375</v>
      </c>
      <c r="F16" s="26" t="s">
        <v>376</v>
      </c>
      <c r="G16" s="26" t="s">
        <v>377</v>
      </c>
      <c r="H16" s="26" t="s">
        <v>378</v>
      </c>
      <c r="I16" s="26" t="s">
        <v>379</v>
      </c>
      <c r="J16" s="26" t="s">
        <v>380</v>
      </c>
      <c r="K16" s="26" t="s">
        <v>381</v>
      </c>
      <c r="L16" s="27" t="s">
        <v>324</v>
      </c>
      <c r="M16" s="27" t="s">
        <v>128</v>
      </c>
      <c r="N16" s="27" t="s">
        <v>130</v>
      </c>
      <c r="O16" s="27" t="s">
        <v>132</v>
      </c>
      <c r="P16" s="27" t="s">
        <v>134</v>
      </c>
      <c r="Q16" s="27" t="s">
        <v>316</v>
      </c>
      <c r="R16" s="34"/>
      <c r="S16" s="34"/>
      <c r="T16" s="34"/>
      <c r="U16" s="34"/>
      <c r="V16" s="34"/>
    </row>
    <row r="17" spans="1:22" s="25" customFormat="1">
      <c r="A17" s="58" t="s">
        <v>205</v>
      </c>
      <c r="B17" s="30" t="s">
        <v>65</v>
      </c>
      <c r="C17" s="50" t="s">
        <v>373</v>
      </c>
      <c r="D17" s="24" t="s">
        <v>336</v>
      </c>
      <c r="E17" s="24" t="s">
        <v>336</v>
      </c>
      <c r="F17" s="24" t="s">
        <v>372</v>
      </c>
      <c r="G17" s="24">
        <v>1</v>
      </c>
      <c r="H17" s="24" t="s">
        <v>327</v>
      </c>
      <c r="I17" s="24">
        <v>1</v>
      </c>
      <c r="J17" s="24" t="s">
        <v>382</v>
      </c>
      <c r="K17" s="24">
        <v>150000</v>
      </c>
      <c r="L17" s="32" t="s">
        <v>147</v>
      </c>
      <c r="M17" s="29" t="str">
        <f>"0"&amp;IF(D17="No","1","0")</f>
        <v>00</v>
      </c>
      <c r="N17" s="29" t="str">
        <f>BIN2HEX(DEC2BIN(G17,6)*100+IF(F17="No",10,0)+IF(E17="No",1,0),2)</f>
        <v>06</v>
      </c>
      <c r="O17" s="29" t="str">
        <f>IF(H17="Minutes",DEC2HEX(128+I17),DEC2HEX(I17,2))</f>
        <v>81</v>
      </c>
      <c r="P17" s="29" t="e">
        <f>IF(J17="Leave Unchanged","00",IF(J17="mS",DEC2HEX(K17/250,2),
IF(J17="Seconds",DEC2HEX(K17+64,2),
IF(J17="Minutes",DEC2HEX(K17+128,2),
IF(J17="Hours",DEC2HEX(K17+192,2))))))</f>
        <v>#NUM!</v>
      </c>
      <c r="Q17" s="31" t="e">
        <f>L17&amp;M17&amp;N17&amp;O17&amp;P17&amp;"000000"</f>
        <v>#NUM!</v>
      </c>
      <c r="R17" s="34"/>
      <c r="S17" s="34"/>
      <c r="T17" s="34"/>
      <c r="U17" s="34"/>
      <c r="V17" s="34"/>
    </row>
    <row r="18" spans="1:22" s="25" customFormat="1" ht="64.5">
      <c r="A18" s="58" t="s">
        <v>207</v>
      </c>
      <c r="B18" s="27" t="s">
        <v>316</v>
      </c>
      <c r="C18" s="49" t="s">
        <v>51</v>
      </c>
      <c r="D18" s="26" t="s">
        <v>383</v>
      </c>
      <c r="E18" s="27" t="s">
        <v>324</v>
      </c>
      <c r="F18" s="27" t="s">
        <v>128</v>
      </c>
      <c r="G18" s="27" t="s">
        <v>316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spans="1:22" s="25" customFormat="1">
      <c r="A19" s="58" t="s">
        <v>209</v>
      </c>
      <c r="B19" s="30" t="s">
        <v>384</v>
      </c>
      <c r="C19" s="50" t="s">
        <v>51</v>
      </c>
      <c r="D19" s="24">
        <v>1</v>
      </c>
      <c r="E19" s="32" t="s">
        <v>385</v>
      </c>
      <c r="F19" s="29" t="str">
        <f>DEC2HEX(D19,2)</f>
        <v>01</v>
      </c>
      <c r="G19" s="30" t="str">
        <f>E19&amp;F19</f>
        <v>EE01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spans="1:22" s="25" customFormat="1" ht="26.25">
      <c r="A20" s="58" t="s">
        <v>211</v>
      </c>
      <c r="B20" s="27" t="s">
        <v>316</v>
      </c>
      <c r="C20" s="49" t="s">
        <v>386</v>
      </c>
      <c r="D20" s="26" t="s">
        <v>387</v>
      </c>
      <c r="E20" s="26" t="s">
        <v>388</v>
      </c>
      <c r="F20" s="26" t="s">
        <v>389</v>
      </c>
      <c r="G20" s="26" t="s">
        <v>390</v>
      </c>
      <c r="H20" s="26" t="s">
        <v>391</v>
      </c>
      <c r="I20" s="26" t="s">
        <v>392</v>
      </c>
      <c r="J20" s="26" t="s">
        <v>393</v>
      </c>
      <c r="K20" s="27" t="s">
        <v>324</v>
      </c>
      <c r="L20" s="27" t="s">
        <v>128</v>
      </c>
      <c r="M20" s="27" t="s">
        <v>130</v>
      </c>
      <c r="N20" s="27" t="s">
        <v>132</v>
      </c>
      <c r="O20" s="27" t="s">
        <v>316</v>
      </c>
      <c r="P20" s="34"/>
      <c r="Q20" s="34"/>
      <c r="R20" s="34"/>
      <c r="S20" s="34"/>
      <c r="T20" s="34"/>
      <c r="U20" s="34"/>
      <c r="V20" s="34"/>
    </row>
    <row r="21" spans="1:22" s="25" customFormat="1">
      <c r="A21" s="58" t="s">
        <v>223</v>
      </c>
      <c r="B21" s="30" t="str">
        <f>O21</f>
        <v>0606FF0400000000</v>
      </c>
      <c r="C21" s="50" t="s">
        <v>386</v>
      </c>
      <c r="D21" s="24" t="s">
        <v>372</v>
      </c>
      <c r="E21" s="24" t="s">
        <v>372</v>
      </c>
      <c r="F21" s="24" t="s">
        <v>336</v>
      </c>
      <c r="G21" s="24">
        <v>63.75</v>
      </c>
      <c r="H21" s="24" t="s">
        <v>372</v>
      </c>
      <c r="I21" s="24" t="s">
        <v>336</v>
      </c>
      <c r="J21" s="24" t="s">
        <v>336</v>
      </c>
      <c r="K21" s="32" t="s">
        <v>157</v>
      </c>
      <c r="L21" s="29" t="str">
        <f>"0"&amp;DEC2HEX(IF(D21="Yes",0,4)+IF(E21="Yes",0,2)+IF(F21="Yes",0,1))</f>
        <v>06</v>
      </c>
      <c r="M21" s="29" t="str">
        <f>DEC2HEX(INT(G21*4),2)</f>
        <v>FF</v>
      </c>
      <c r="N21" s="29" t="str">
        <f>"0"&amp;DEC2HEX(IF(H21="Yes",0,4)+IF(I21="Yes",0,2)+IF(J21="Yes",0,1))</f>
        <v>04</v>
      </c>
      <c r="O21" s="30" t="str">
        <f>K21&amp;L21&amp;M21&amp;N21&amp;"00000000"</f>
        <v>0606FF0400000000</v>
      </c>
      <c r="P21" s="34"/>
      <c r="Q21" s="34"/>
      <c r="R21" s="34"/>
      <c r="S21" s="34"/>
      <c r="T21" s="34"/>
      <c r="U21" s="34"/>
      <c r="V21" s="34"/>
    </row>
    <row r="22" spans="1:22" s="25" customFormat="1" ht="39">
      <c r="A22" s="58" t="s">
        <v>304</v>
      </c>
      <c r="B22" s="27" t="s">
        <v>316</v>
      </c>
      <c r="C22" s="49" t="s">
        <v>394</v>
      </c>
      <c r="D22" s="26" t="s">
        <v>395</v>
      </c>
      <c r="E22" s="26" t="s">
        <v>396</v>
      </c>
      <c r="F22" s="26" t="s">
        <v>397</v>
      </c>
      <c r="G22" s="26" t="s">
        <v>398</v>
      </c>
      <c r="H22" s="26" t="s">
        <v>399</v>
      </c>
      <c r="I22" s="27" t="s">
        <v>324</v>
      </c>
      <c r="J22" s="27" t="s">
        <v>128</v>
      </c>
      <c r="K22" s="27" t="s">
        <v>130</v>
      </c>
      <c r="L22" s="27" t="s">
        <v>132</v>
      </c>
      <c r="M22" s="27" t="s">
        <v>316</v>
      </c>
      <c r="N22" s="34"/>
      <c r="O22" s="34"/>
      <c r="P22" s="34"/>
      <c r="Q22" s="34"/>
      <c r="R22" s="34"/>
      <c r="S22" s="34"/>
      <c r="T22" s="34"/>
      <c r="U22" s="34"/>
      <c r="V22" s="34"/>
    </row>
    <row r="23" spans="1:22" s="25" customFormat="1">
      <c r="A23" s="58" t="s">
        <v>306</v>
      </c>
      <c r="B23" s="30" t="s">
        <v>400</v>
      </c>
      <c r="C23" s="50" t="s">
        <v>394</v>
      </c>
      <c r="D23" s="24" t="s">
        <v>372</v>
      </c>
      <c r="E23" s="24" t="s">
        <v>336</v>
      </c>
      <c r="F23" s="24" t="s">
        <v>336</v>
      </c>
      <c r="G23" s="24">
        <v>255</v>
      </c>
      <c r="H23" s="24">
        <v>255</v>
      </c>
      <c r="I23" s="32" t="s">
        <v>401</v>
      </c>
      <c r="J23" s="29" t="str">
        <f>"0"&amp;DEC2HEX(IF(D23="Yes",0,4)+IF(E23="Yes",0,2)+IF(F23="Yes",0,1))</f>
        <v>04</v>
      </c>
      <c r="K23" s="29" t="str">
        <f>DEC2HEX(G23,2)</f>
        <v>FF</v>
      </c>
      <c r="L23" s="29" t="str">
        <f>DEC2HEX(H23,2)</f>
        <v>FF</v>
      </c>
      <c r="M23" s="30" t="str">
        <f>I23&amp;J23&amp;K23&amp;L23&amp;"00000000"</f>
        <v>EA04FFFF00000000</v>
      </c>
      <c r="N23" s="34"/>
      <c r="O23" s="34"/>
      <c r="P23" s="34"/>
      <c r="Q23" s="34"/>
      <c r="R23" s="34"/>
      <c r="S23" s="34"/>
      <c r="T23" s="34"/>
      <c r="U23" s="34"/>
      <c r="V23" s="34"/>
    </row>
    <row r="24" spans="1:22" s="25" customFormat="1" ht="51.75">
      <c r="A24" s="58" t="s">
        <v>308</v>
      </c>
      <c r="B24" s="27" t="s">
        <v>316</v>
      </c>
      <c r="C24" s="49" t="s">
        <v>92</v>
      </c>
      <c r="D24" s="26" t="s">
        <v>318</v>
      </c>
      <c r="E24" s="26" t="s">
        <v>355</v>
      </c>
      <c r="F24" s="26" t="s">
        <v>319</v>
      </c>
      <c r="G24" s="26" t="s">
        <v>320</v>
      </c>
      <c r="H24" s="26" t="s">
        <v>358</v>
      </c>
      <c r="I24" s="26" t="s">
        <v>356</v>
      </c>
      <c r="J24" s="26" t="s">
        <v>357</v>
      </c>
      <c r="K24" s="27" t="s">
        <v>324</v>
      </c>
      <c r="L24" s="27" t="s">
        <v>128</v>
      </c>
      <c r="M24" s="27" t="s">
        <v>130</v>
      </c>
      <c r="N24" s="27" t="s">
        <v>132</v>
      </c>
      <c r="O24" s="27" t="s">
        <v>134</v>
      </c>
      <c r="P24" s="27" t="s">
        <v>136</v>
      </c>
      <c r="Q24" s="27" t="s">
        <v>316</v>
      </c>
      <c r="R24" s="34"/>
      <c r="S24" s="34"/>
      <c r="T24" s="34"/>
      <c r="U24" s="34"/>
      <c r="V24" s="34"/>
    </row>
    <row r="25" spans="1:22" s="25" customFormat="1">
      <c r="A25" s="58" t="s">
        <v>310</v>
      </c>
      <c r="B25" s="30" t="str">
        <f>Q25</f>
        <v>09017F0F807F0000</v>
      </c>
      <c r="C25" s="50" t="s">
        <v>92</v>
      </c>
      <c r="D25" s="24" t="s">
        <v>362</v>
      </c>
      <c r="E25" s="24" t="s">
        <v>336</v>
      </c>
      <c r="F25" s="24" t="s">
        <v>363</v>
      </c>
      <c r="G25" s="24">
        <v>127</v>
      </c>
      <c r="H25" s="24">
        <v>15</v>
      </c>
      <c r="I25" s="24">
        <v>-128</v>
      </c>
      <c r="J25" s="24">
        <v>127</v>
      </c>
      <c r="K25" s="32" t="s">
        <v>168</v>
      </c>
      <c r="L25" s="29" t="str">
        <f>IF(D25="Report on Change","01","00")</f>
        <v>01</v>
      </c>
      <c r="M25" s="29" t="str">
        <f>IF(E25="No","00",IF(F25="Minutes",DEC2HEX(G25+128,2),IF(F25="Hours",DEC2HEX(G25,2))))</f>
        <v>7F</v>
      </c>
      <c r="N25" s="29" t="str">
        <f>DEC2HEX(H25,2)</f>
        <v>0F</v>
      </c>
      <c r="O25" s="29" t="str">
        <f>IF(LEFT(I25,1)="-",DEC2HEX(I25+256,2),DEC2HEX(I25,2))</f>
        <v>80</v>
      </c>
      <c r="P25" s="29" t="str">
        <f>IF(LEFT(J25,1)="-",DEC2HEX(J25+256,2),DEC2HEX(J25,2))</f>
        <v>7F</v>
      </c>
      <c r="Q25" s="33" t="str">
        <f>K25&amp;L25&amp;M25&amp;N25&amp;O25&amp;P25&amp;"0000"</f>
        <v>09017F0F807F0000</v>
      </c>
      <c r="R25" s="34"/>
      <c r="S25" s="34"/>
      <c r="T25" s="34"/>
      <c r="U25" s="34"/>
      <c r="V25" s="34"/>
    </row>
    <row r="26" spans="1:22" s="25" customFormat="1" ht="51.75">
      <c r="A26" s="58" t="s">
        <v>402</v>
      </c>
      <c r="B26" s="27" t="s">
        <v>316</v>
      </c>
      <c r="C26" s="49" t="s">
        <v>95</v>
      </c>
      <c r="D26" s="26" t="s">
        <v>318</v>
      </c>
      <c r="E26" s="26" t="s">
        <v>355</v>
      </c>
      <c r="F26" s="26" t="s">
        <v>319</v>
      </c>
      <c r="G26" s="26" t="s">
        <v>320</v>
      </c>
      <c r="H26" s="26" t="s">
        <v>358</v>
      </c>
      <c r="I26" s="26" t="s">
        <v>356</v>
      </c>
      <c r="J26" s="26" t="s">
        <v>357</v>
      </c>
      <c r="K26" s="27" t="s">
        <v>324</v>
      </c>
      <c r="L26" s="27" t="s">
        <v>128</v>
      </c>
      <c r="M26" s="27" t="s">
        <v>130</v>
      </c>
      <c r="N26" s="27" t="s">
        <v>132</v>
      </c>
      <c r="O26" s="27" t="s">
        <v>134</v>
      </c>
      <c r="P26" s="27" t="s">
        <v>136</v>
      </c>
      <c r="Q26" s="27" t="s">
        <v>316</v>
      </c>
      <c r="R26" s="34"/>
      <c r="S26" s="34"/>
      <c r="T26" s="34"/>
      <c r="U26" s="34"/>
      <c r="V26" s="34"/>
    </row>
    <row r="27" spans="1:22" s="25" customFormat="1">
      <c r="A27" s="58" t="s">
        <v>403</v>
      </c>
      <c r="B27" s="30" t="str">
        <f>Q27</f>
        <v>1900FF0F807F0000</v>
      </c>
      <c r="C27" s="50" t="s">
        <v>95</v>
      </c>
      <c r="D27" s="24" t="s">
        <v>326</v>
      </c>
      <c r="E27" s="24" t="s">
        <v>336</v>
      </c>
      <c r="F27" s="24" t="s">
        <v>327</v>
      </c>
      <c r="G27" s="24">
        <v>127</v>
      </c>
      <c r="H27" s="24">
        <v>15</v>
      </c>
      <c r="I27" s="24">
        <v>-128</v>
      </c>
      <c r="J27" s="24">
        <v>127</v>
      </c>
      <c r="K27" s="32" t="s">
        <v>211</v>
      </c>
      <c r="L27" s="29" t="str">
        <f>IF(D27="Report on Change","01","00")</f>
        <v>00</v>
      </c>
      <c r="M27" s="29" t="str">
        <f>IF(E27="No","00",IF(F27="Minutes",DEC2HEX(G27+128,2),IF(F27="Hours",DEC2HEX(G27,2))))</f>
        <v>FF</v>
      </c>
      <c r="N27" s="29" t="str">
        <f>DEC2HEX(H27,2)</f>
        <v>0F</v>
      </c>
      <c r="O27" s="29" t="str">
        <f>IF(LEFT(I27,1)="-",DEC2HEX(I27+256,2),DEC2HEX(I27,2))</f>
        <v>80</v>
      </c>
      <c r="P27" s="29" t="str">
        <f>IF(LEFT(J27,1)="-",DEC2HEX(J27+256,2),DEC2HEX(J27,2))</f>
        <v>7F</v>
      </c>
      <c r="Q27" s="33" t="str">
        <f>K27&amp;L27&amp;M27&amp;N27&amp;O27&amp;P27&amp;"0000"</f>
        <v>1900FF0F807F0000</v>
      </c>
      <c r="R27" s="34"/>
      <c r="S27" s="34"/>
      <c r="T27" s="34"/>
      <c r="U27" s="34"/>
      <c r="V27" s="34"/>
    </row>
    <row r="28" spans="1:22" s="25" customFormat="1" ht="51.75">
      <c r="A28" s="58" t="s">
        <v>404</v>
      </c>
      <c r="B28" s="27" t="s">
        <v>316</v>
      </c>
      <c r="C28" s="49" t="s">
        <v>98</v>
      </c>
      <c r="D28" s="26" t="s">
        <v>405</v>
      </c>
      <c r="E28" s="26" t="s">
        <v>318</v>
      </c>
      <c r="F28" s="26" t="s">
        <v>355</v>
      </c>
      <c r="G28" s="26" t="s">
        <v>319</v>
      </c>
      <c r="H28" s="26" t="s">
        <v>320</v>
      </c>
      <c r="I28" s="26" t="s">
        <v>321</v>
      </c>
      <c r="J28" s="26" t="s">
        <v>356</v>
      </c>
      <c r="K28" s="26" t="s">
        <v>357</v>
      </c>
      <c r="L28" s="27" t="s">
        <v>324</v>
      </c>
      <c r="M28" s="27" t="s">
        <v>128</v>
      </c>
      <c r="N28" s="27" t="s">
        <v>130</v>
      </c>
      <c r="O28" s="27" t="s">
        <v>132</v>
      </c>
      <c r="P28" s="27" t="s">
        <v>134</v>
      </c>
      <c r="Q28" s="27" t="s">
        <v>136</v>
      </c>
      <c r="R28" s="27" t="s">
        <v>316</v>
      </c>
      <c r="S28" s="34"/>
      <c r="T28" s="34"/>
      <c r="U28" s="34"/>
      <c r="V28" s="34"/>
    </row>
    <row r="29" spans="1:22" s="25" customFormat="1">
      <c r="A29" s="58" t="s">
        <v>406</v>
      </c>
      <c r="B29" s="30" t="str">
        <f>R29</f>
        <v>1331FFFFF80007F0</v>
      </c>
      <c r="C29" s="50" t="s">
        <v>98</v>
      </c>
      <c r="D29" s="24" t="s">
        <v>407</v>
      </c>
      <c r="E29" s="24" t="s">
        <v>362</v>
      </c>
      <c r="F29" s="24" t="s">
        <v>336</v>
      </c>
      <c r="G29" s="24" t="s">
        <v>327</v>
      </c>
      <c r="H29" s="24">
        <v>127</v>
      </c>
      <c r="I29" s="24">
        <v>255</v>
      </c>
      <c r="J29" s="24">
        <v>-128</v>
      </c>
      <c r="K29" s="24">
        <v>127</v>
      </c>
      <c r="L29" s="32" t="s">
        <v>196</v>
      </c>
      <c r="M29" s="29" t="str">
        <f>BIN2HEX(LOOKUP(D29,Tables!J2:J11,Tables!K2:K11)&amp;IF(E29="Report on Change","0001","0000"),2)</f>
        <v>31</v>
      </c>
      <c r="N29" s="29" t="str">
        <f>IF(F29="No","00",IF(G29="Minutes",DEC2HEX(H29+128,2),IF(G29="Hours",DEC2HEX(H29,2))))</f>
        <v>FF</v>
      </c>
      <c r="O29" s="29" t="str">
        <f>DEC2HEX(I29,2)</f>
        <v>FF</v>
      </c>
      <c r="P29" s="29" t="str">
        <f>IF(LEFT(J29,1)="-",DEC2HEX(J29*16+65536,4),DEC2HEX(J29*16,4))</f>
        <v>F800</v>
      </c>
      <c r="Q29" s="29" t="str">
        <f>IF(LEFT(K29,1)="-",DEC2HEX(K29*16+65536,4),DEC2HEX(K29*16,4))</f>
        <v>07F0</v>
      </c>
      <c r="R29" s="33" t="str">
        <f>L29&amp;M29&amp;N29&amp;O29&amp;P29&amp;Q29</f>
        <v>1331FFFFF80007F0</v>
      </c>
      <c r="S29" s="34"/>
      <c r="T29" s="34"/>
      <c r="U29" s="34"/>
      <c r="V29" s="34"/>
    </row>
    <row r="30" spans="1:22" s="25" customFormat="1" ht="39">
      <c r="A30" s="58" t="s">
        <v>408</v>
      </c>
      <c r="B30" s="27" t="s">
        <v>316</v>
      </c>
      <c r="C30" s="49" t="s">
        <v>110</v>
      </c>
      <c r="D30" s="26" t="s">
        <v>409</v>
      </c>
      <c r="E30" s="26" t="s">
        <v>410</v>
      </c>
      <c r="F30" s="26" t="s">
        <v>411</v>
      </c>
      <c r="G30" s="26" t="s">
        <v>412</v>
      </c>
      <c r="H30" s="26" t="s">
        <v>413</v>
      </c>
      <c r="I30" s="26" t="s">
        <v>414</v>
      </c>
      <c r="J30" s="26" t="s">
        <v>415</v>
      </c>
      <c r="K30" s="26" t="s">
        <v>416</v>
      </c>
      <c r="L30" s="26" t="s">
        <v>417</v>
      </c>
      <c r="M30" s="26" t="s">
        <v>418</v>
      </c>
      <c r="N30" s="27" t="s">
        <v>324</v>
      </c>
      <c r="O30" s="27" t="s">
        <v>128</v>
      </c>
      <c r="P30" s="27" t="s">
        <v>130</v>
      </c>
      <c r="Q30" s="27" t="s">
        <v>132</v>
      </c>
      <c r="R30" s="27" t="s">
        <v>134</v>
      </c>
      <c r="S30" s="27" t="s">
        <v>136</v>
      </c>
      <c r="T30" s="27" t="s">
        <v>138</v>
      </c>
      <c r="U30" s="27" t="s">
        <v>140</v>
      </c>
      <c r="V30" s="27" t="s">
        <v>316</v>
      </c>
    </row>
    <row r="31" spans="1:22" s="25" customFormat="1">
      <c r="A31" s="58" t="s">
        <v>419</v>
      </c>
      <c r="B31" s="30" t="str">
        <f>V31</f>
        <v>0A085A5AFFFF5A5A</v>
      </c>
      <c r="C31" s="50" t="s">
        <v>110</v>
      </c>
      <c r="D31" s="24" t="s">
        <v>372</v>
      </c>
      <c r="E31" s="24" t="s">
        <v>336</v>
      </c>
      <c r="F31" s="24" t="s">
        <v>336</v>
      </c>
      <c r="G31" s="24" t="s">
        <v>336</v>
      </c>
      <c r="H31" s="24">
        <v>90</v>
      </c>
      <c r="I31" s="24">
        <v>90</v>
      </c>
      <c r="J31" s="24">
        <v>63.75</v>
      </c>
      <c r="K31" s="24">
        <v>63.75</v>
      </c>
      <c r="L31" s="24">
        <v>90</v>
      </c>
      <c r="M31" s="24">
        <v>90</v>
      </c>
      <c r="N31" s="32" t="s">
        <v>172</v>
      </c>
      <c r="O31" s="29" t="str">
        <f>"0"&amp;DEC2HEX(IF(D31="Yes",0,8)+IF(E31="Yes",0,4)+IF(F31="Yes",0,2)+IF(G31="Yes",0,1))</f>
        <v>08</v>
      </c>
      <c r="P31" s="29" t="str">
        <f>DEC2HEX(H31,2)</f>
        <v>5A</v>
      </c>
      <c r="Q31" s="29" t="str">
        <f>DEC2HEX(I31,2)</f>
        <v>5A</v>
      </c>
      <c r="R31" s="29" t="str">
        <f>DEC2HEX(J31*4,2)</f>
        <v>FF</v>
      </c>
      <c r="S31" s="29" t="str">
        <f>DEC2HEX(K31*4,2)</f>
        <v>FF</v>
      </c>
      <c r="T31" s="29" t="str">
        <f>DEC2HEX(L31,2)</f>
        <v>5A</v>
      </c>
      <c r="U31" s="29" t="str">
        <f>DEC2HEX(M31,2)</f>
        <v>5A</v>
      </c>
      <c r="V31" s="33" t="str">
        <f>N31&amp;O31&amp;P31&amp;Q31&amp;R31&amp;S31&amp;T31&amp;U31</f>
        <v>0A085A5AFFFF5A5A</v>
      </c>
    </row>
    <row r="32" spans="1:22" s="25" customFormat="1" ht="51.75">
      <c r="A32" s="58" t="s">
        <v>420</v>
      </c>
      <c r="B32" s="27" t="s">
        <v>316</v>
      </c>
      <c r="C32" s="49" t="s">
        <v>118</v>
      </c>
      <c r="D32" s="26" t="s">
        <v>318</v>
      </c>
      <c r="E32" s="26" t="s">
        <v>355</v>
      </c>
      <c r="F32" s="26" t="s">
        <v>319</v>
      </c>
      <c r="G32" s="26" t="s">
        <v>320</v>
      </c>
      <c r="H32" s="26" t="s">
        <v>421</v>
      </c>
      <c r="I32" s="26" t="s">
        <v>422</v>
      </c>
      <c r="J32" s="26" t="s">
        <v>423</v>
      </c>
      <c r="K32" s="27" t="s">
        <v>324</v>
      </c>
      <c r="L32" s="27" t="s">
        <v>128</v>
      </c>
      <c r="M32" s="27" t="s">
        <v>130</v>
      </c>
      <c r="N32" s="27" t="s">
        <v>132</v>
      </c>
      <c r="O32" s="27" t="s">
        <v>134</v>
      </c>
      <c r="P32" s="27" t="s">
        <v>136</v>
      </c>
      <c r="Q32" s="27" t="s">
        <v>316</v>
      </c>
      <c r="R32" s="34"/>
      <c r="S32" s="34"/>
      <c r="T32" s="34"/>
      <c r="U32" s="34"/>
      <c r="V32" s="34"/>
    </row>
    <row r="33" spans="1:22" s="25" customFormat="1">
      <c r="A33" s="58" t="s">
        <v>424</v>
      </c>
      <c r="B33" s="30" t="str">
        <f>Q33</f>
        <v>1400FFFFFFFFFFFF</v>
      </c>
      <c r="C33" s="50" t="s">
        <v>118</v>
      </c>
      <c r="D33" s="24" t="s">
        <v>326</v>
      </c>
      <c r="E33" s="24" t="s">
        <v>336</v>
      </c>
      <c r="F33" s="24" t="s">
        <v>327</v>
      </c>
      <c r="G33" s="24">
        <v>127</v>
      </c>
      <c r="H33" s="24">
        <v>2.5499999999999998</v>
      </c>
      <c r="I33" s="24">
        <v>655.35</v>
      </c>
      <c r="J33" s="24">
        <v>655.35</v>
      </c>
      <c r="K33" s="32" t="s">
        <v>200</v>
      </c>
      <c r="L33" s="29" t="str">
        <f>IF(D33="Report on Change","01","00")</f>
        <v>00</v>
      </c>
      <c r="M33" s="29" t="str">
        <f>IF(E33="No","00",IF(F33="Minutes",DEC2HEX(G33+128,2),IF(F33="Hours",DEC2HEX(G33,2))))</f>
        <v>FF</v>
      </c>
      <c r="N33" s="29" t="str">
        <f>DEC2HEX(INT(H33*100),2)</f>
        <v>FF</v>
      </c>
      <c r="O33" s="29" t="str">
        <f>DEC2HEX(INT(I33*100),4)</f>
        <v>FFFF</v>
      </c>
      <c r="P33" s="29" t="str">
        <f>DEC2HEX(INT(J33*100),4)</f>
        <v>FFFF</v>
      </c>
      <c r="Q33" s="33" t="str">
        <f>K33&amp;L33&amp;M33&amp;N33&amp;O33&amp;P33</f>
        <v>1400FFFFFFFFFFFF</v>
      </c>
      <c r="R33" s="34"/>
      <c r="S33" s="34"/>
      <c r="T33" s="34"/>
      <c r="U33" s="34"/>
      <c r="V33" s="34"/>
    </row>
    <row r="34" spans="1:22" s="25" customFormat="1" ht="26.25">
      <c r="A34" s="58" t="s">
        <v>225</v>
      </c>
      <c r="B34" s="27" t="s">
        <v>316</v>
      </c>
      <c r="C34" s="49" t="s">
        <v>121</v>
      </c>
      <c r="D34" s="26" t="s">
        <v>364</v>
      </c>
      <c r="E34" s="26" t="s">
        <v>326</v>
      </c>
      <c r="F34" s="26" t="s">
        <v>321</v>
      </c>
      <c r="G34" s="27" t="s">
        <v>324</v>
      </c>
      <c r="H34" s="27" t="s">
        <v>128</v>
      </c>
      <c r="I34" s="27" t="s">
        <v>130</v>
      </c>
      <c r="J34" s="27" t="s">
        <v>132</v>
      </c>
      <c r="K34" s="27" t="s">
        <v>316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spans="1:22" s="25" customFormat="1">
      <c r="A35" s="58" t="s">
        <v>228</v>
      </c>
      <c r="B35" s="30" t="str">
        <f>K35</f>
        <v>0800FFFF00000000</v>
      </c>
      <c r="C35" s="50" t="s">
        <v>121</v>
      </c>
      <c r="D35" s="24" t="s">
        <v>336</v>
      </c>
      <c r="E35" s="24">
        <v>255</v>
      </c>
      <c r="F35" s="24">
        <v>255</v>
      </c>
      <c r="G35" s="32" t="s">
        <v>164</v>
      </c>
      <c r="H35" s="29" t="str">
        <f>"0"&amp;IF(D35="No","1","0")</f>
        <v>00</v>
      </c>
      <c r="I35" s="29" t="str">
        <f>DEC2HEX(E35,2)</f>
        <v>FF</v>
      </c>
      <c r="J35" s="29" t="str">
        <f>DEC2HEX(F35,2)</f>
        <v>FF</v>
      </c>
      <c r="K35" s="30" t="str">
        <f>G35&amp;H35&amp;I35&amp;J35&amp;"00000000"</f>
        <v>0800FFFF00000000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spans="1:22" ht="39">
      <c r="A36" s="58" t="s">
        <v>235</v>
      </c>
      <c r="B36" s="27" t="s">
        <v>316</v>
      </c>
      <c r="C36" s="49" t="s">
        <v>425</v>
      </c>
      <c r="D36" s="26" t="s">
        <v>426</v>
      </c>
      <c r="E36" s="26" t="s">
        <v>427</v>
      </c>
      <c r="F36" s="26" t="s">
        <v>428</v>
      </c>
      <c r="G36" s="26" t="s">
        <v>429</v>
      </c>
      <c r="H36" s="26" t="s">
        <v>430</v>
      </c>
      <c r="I36" s="26" t="s">
        <v>431</v>
      </c>
      <c r="J36" s="26" t="s">
        <v>432</v>
      </c>
      <c r="K36" s="26" t="s">
        <v>433</v>
      </c>
      <c r="L36" s="26" t="s">
        <v>434</v>
      </c>
      <c r="M36" s="27" t="s">
        <v>324</v>
      </c>
      <c r="N36" s="27" t="s">
        <v>128</v>
      </c>
      <c r="O36" s="27" t="s">
        <v>130</v>
      </c>
      <c r="P36" s="27" t="s">
        <v>132</v>
      </c>
      <c r="Q36" s="27" t="s">
        <v>134</v>
      </c>
      <c r="R36" s="27" t="s">
        <v>316</v>
      </c>
    </row>
    <row r="37" spans="1:22">
      <c r="A37" s="58" t="s">
        <v>435</v>
      </c>
      <c r="B37" s="30" t="str">
        <f>R37</f>
        <v>3107FF7F7F000000</v>
      </c>
      <c r="C37" s="50" t="s">
        <v>425</v>
      </c>
      <c r="D37" s="24" t="s">
        <v>436</v>
      </c>
      <c r="E37" s="24" t="s">
        <v>436</v>
      </c>
      <c r="F37" s="24" t="s">
        <v>436</v>
      </c>
      <c r="G37" s="24" t="s">
        <v>327</v>
      </c>
      <c r="H37" s="24">
        <v>127</v>
      </c>
      <c r="I37" s="24" t="s">
        <v>363</v>
      </c>
      <c r="J37" s="24">
        <v>127</v>
      </c>
      <c r="K37" s="24" t="s">
        <v>363</v>
      </c>
      <c r="L37" s="24">
        <v>127</v>
      </c>
      <c r="M37" s="32">
        <v>31</v>
      </c>
      <c r="N37" s="29" t="str">
        <f>"0"&amp;IF(D37="Update",4,0)+IF(E37="Update",2,0)+IF(F37="Update",1,0)</f>
        <v>07</v>
      </c>
      <c r="O37" s="29" t="str">
        <f>IF(G37="Minutes",DEC2HEX(128+H37),DEC2HEX(H37,2))</f>
        <v>FF</v>
      </c>
      <c r="P37" s="29" t="str">
        <f>IF(I37="Minutes",DEC2HEX(128+J37),DEC2HEX(J37,2))</f>
        <v>7F</v>
      </c>
      <c r="Q37" s="29" t="str">
        <f>IF(K37="Minutes",DEC2HEX(128+L37),DEC2HEX(L37,2))</f>
        <v>7F</v>
      </c>
      <c r="R37" s="33" t="str">
        <f>M37&amp;N37&amp;O37&amp;P37&amp;Q37&amp;"000000"</f>
        <v>3107FF7F7F000000</v>
      </c>
    </row>
    <row r="38" spans="1:22" ht="39">
      <c r="A38" s="58" t="s">
        <v>437</v>
      </c>
      <c r="B38" s="27" t="s">
        <v>316</v>
      </c>
      <c r="C38" s="49" t="s">
        <v>438</v>
      </c>
      <c r="D38" s="26" t="s">
        <v>349</v>
      </c>
      <c r="E38" s="26" t="s">
        <v>439</v>
      </c>
      <c r="F38" s="26" t="s">
        <v>350</v>
      </c>
      <c r="G38" s="26" t="s">
        <v>440</v>
      </c>
      <c r="H38" s="26" t="s">
        <v>441</v>
      </c>
      <c r="I38" s="26" t="s">
        <v>442</v>
      </c>
      <c r="J38" s="26" t="s">
        <v>443</v>
      </c>
      <c r="K38" s="26" t="s">
        <v>444</v>
      </c>
      <c r="L38" s="27" t="s">
        <v>324</v>
      </c>
      <c r="M38" s="27" t="s">
        <v>128</v>
      </c>
      <c r="N38" s="27" t="s">
        <v>130</v>
      </c>
      <c r="O38" s="27" t="s">
        <v>132</v>
      </c>
      <c r="P38" s="27" t="s">
        <v>134</v>
      </c>
      <c r="Q38" s="27" t="s">
        <v>136</v>
      </c>
      <c r="R38" s="27" t="s">
        <v>138</v>
      </c>
      <c r="S38" s="27" t="s">
        <v>140</v>
      </c>
      <c r="T38" s="27" t="s">
        <v>445</v>
      </c>
    </row>
    <row r="39" spans="1:22">
      <c r="A39" s="58" t="s">
        <v>446</v>
      </c>
      <c r="B39" s="30" t="str">
        <f>T39</f>
        <v>327FFFFFFFFFFFFF00</v>
      </c>
      <c r="C39" s="50" t="s">
        <v>438</v>
      </c>
      <c r="D39" s="24">
        <v>127</v>
      </c>
      <c r="E39" s="24" t="s">
        <v>327</v>
      </c>
      <c r="F39" s="24">
        <v>127</v>
      </c>
      <c r="G39" s="24">
        <v>255</v>
      </c>
      <c r="H39" s="24">
        <v>255</v>
      </c>
      <c r="I39" s="24">
        <v>255</v>
      </c>
      <c r="J39" s="24">
        <v>255</v>
      </c>
      <c r="K39" s="24">
        <v>255</v>
      </c>
      <c r="L39" s="32">
        <v>32</v>
      </c>
      <c r="M39" s="29" t="str">
        <f>DEC2HEX(D39)</f>
        <v>7F</v>
      </c>
      <c r="N39" s="29" t="str">
        <f>IF(E39="Minutes",DEC2HEX(128+F39),DEC2HEX(F39,2))</f>
        <v>FF</v>
      </c>
      <c r="O39" s="29" t="str">
        <f>DEC2HEX(G39)</f>
        <v>FF</v>
      </c>
      <c r="P39" s="29" t="str">
        <f t="shared" ref="P39:S39" si="0">DEC2HEX(H39)</f>
        <v>FF</v>
      </c>
      <c r="Q39" s="29" t="str">
        <f t="shared" si="0"/>
        <v>FF</v>
      </c>
      <c r="R39" s="29" t="str">
        <f t="shared" si="0"/>
        <v>FF</v>
      </c>
      <c r="S39" s="29" t="str">
        <f t="shared" si="0"/>
        <v>FF</v>
      </c>
      <c r="T39" s="33" t="str">
        <f>L39&amp;M39&amp;N39&amp;O39&amp;P39&amp;Q39&amp;R39&amp;S39&amp;"00"</f>
        <v>327FFFFFFFFFFFFF00</v>
      </c>
    </row>
    <row r="40" spans="1:22" s="25" customFormat="1" ht="75">
      <c r="A40" s="58" t="s">
        <v>447</v>
      </c>
      <c r="B40" s="27" t="s">
        <v>316</v>
      </c>
      <c r="C40" s="49" t="s">
        <v>448</v>
      </c>
      <c r="D40" s="26" t="s">
        <v>449</v>
      </c>
      <c r="E40" s="26" t="s">
        <v>450</v>
      </c>
      <c r="F40" s="26" t="s">
        <v>451</v>
      </c>
      <c r="G40" s="26" t="s">
        <v>452</v>
      </c>
      <c r="H40" s="26" t="s">
        <v>453</v>
      </c>
      <c r="I40" s="27" t="s">
        <v>324</v>
      </c>
      <c r="J40" s="27" t="s">
        <v>128</v>
      </c>
      <c r="K40" s="27" t="s">
        <v>130</v>
      </c>
      <c r="L40" s="27" t="s">
        <v>132</v>
      </c>
      <c r="M40" s="27" t="s">
        <v>134</v>
      </c>
      <c r="N40" s="27" t="s">
        <v>136</v>
      </c>
      <c r="O40" s="27" t="s">
        <v>316</v>
      </c>
      <c r="P40" s="34"/>
      <c r="Q40" s="34"/>
      <c r="R40" s="34"/>
      <c r="S40" s="34"/>
      <c r="T40" s="34"/>
      <c r="U40" s="34"/>
    </row>
    <row r="41" spans="1:22" s="25" customFormat="1">
      <c r="A41" s="58" t="s">
        <v>454</v>
      </c>
      <c r="B41" s="30" t="str">
        <f>O41</f>
        <v>3400FFFFFFFF0000</v>
      </c>
      <c r="C41" s="50" t="s">
        <v>448</v>
      </c>
      <c r="D41" s="24" t="s">
        <v>372</v>
      </c>
      <c r="E41" s="24">
        <v>255</v>
      </c>
      <c r="F41" s="24">
        <v>255</v>
      </c>
      <c r="G41" s="24">
        <v>255</v>
      </c>
      <c r="H41" s="24">
        <v>255</v>
      </c>
      <c r="I41" s="32">
        <v>34</v>
      </c>
      <c r="J41" s="29" t="str">
        <f>"0"&amp;IF(D41="No",0,1)</f>
        <v>00</v>
      </c>
      <c r="K41" s="29" t="str">
        <f>DEC2HEX(E41,2)</f>
        <v>FF</v>
      </c>
      <c r="L41" s="29" t="str">
        <f t="shared" ref="L41:N41" si="1">DEC2HEX(F41,2)</f>
        <v>FF</v>
      </c>
      <c r="M41" s="29" t="str">
        <f t="shared" si="1"/>
        <v>FF</v>
      </c>
      <c r="N41" s="29" t="str">
        <f t="shared" si="1"/>
        <v>FF</v>
      </c>
      <c r="O41" s="33" t="str">
        <f>I41&amp;J41&amp;K41&amp;L41&amp;M41&amp;N41&amp;"0000"</f>
        <v>3400FFFFFFFF0000</v>
      </c>
      <c r="P41" s="34"/>
      <c r="Q41" s="34"/>
      <c r="R41" s="34"/>
      <c r="S41" s="34"/>
      <c r="T41" s="34"/>
      <c r="U41" s="34"/>
    </row>
    <row r="42" spans="1:22" ht="75">
      <c r="A42" s="58" t="s">
        <v>455</v>
      </c>
      <c r="B42" s="27" t="s">
        <v>316</v>
      </c>
      <c r="C42" s="49" t="s">
        <v>456</v>
      </c>
      <c r="D42" s="26" t="s">
        <v>457</v>
      </c>
      <c r="E42" s="26" t="s">
        <v>458</v>
      </c>
      <c r="F42" s="26" t="s">
        <v>459</v>
      </c>
      <c r="G42" s="26" t="s">
        <v>460</v>
      </c>
      <c r="H42" s="26" t="s">
        <v>359</v>
      </c>
      <c r="I42" s="26" t="s">
        <v>461</v>
      </c>
      <c r="J42" s="26" t="s">
        <v>462</v>
      </c>
      <c r="K42" s="27" t="s">
        <v>324</v>
      </c>
      <c r="L42" s="27" t="s">
        <v>128</v>
      </c>
      <c r="M42" s="27" t="s">
        <v>130</v>
      </c>
      <c r="N42" s="27" t="s">
        <v>132</v>
      </c>
      <c r="O42" s="27" t="s">
        <v>134</v>
      </c>
      <c r="P42" s="27" t="s">
        <v>136</v>
      </c>
      <c r="Q42" s="27" t="s">
        <v>134</v>
      </c>
      <c r="R42" s="27" t="s">
        <v>136</v>
      </c>
      <c r="S42" s="27" t="s">
        <v>316</v>
      </c>
    </row>
    <row r="43" spans="1:22">
      <c r="A43" s="58" t="s">
        <v>463</v>
      </c>
      <c r="B43" s="30" t="str">
        <f>S43</f>
        <v>3300FFFFFFFFFFFF</v>
      </c>
      <c r="C43" s="50" t="s">
        <v>456</v>
      </c>
      <c r="D43" s="24" t="s">
        <v>372</v>
      </c>
      <c r="E43" s="24">
        <v>255</v>
      </c>
      <c r="F43" s="24">
        <v>255</v>
      </c>
      <c r="G43" s="24">
        <v>255</v>
      </c>
      <c r="H43" s="24">
        <v>255</v>
      </c>
      <c r="I43" s="24">
        <v>255</v>
      </c>
      <c r="J43" s="24">
        <v>255</v>
      </c>
      <c r="K43" s="32">
        <v>33</v>
      </c>
      <c r="L43" s="29" t="str">
        <f>"0"&amp;IF(D43="No",0,1)</f>
        <v>00</v>
      </c>
      <c r="M43" s="29" t="str">
        <f t="shared" ref="M43:R43" si="2">DEC2HEX(E43,2)</f>
        <v>FF</v>
      </c>
      <c r="N43" s="29" t="str">
        <f t="shared" si="2"/>
        <v>FF</v>
      </c>
      <c r="O43" s="29" t="str">
        <f t="shared" si="2"/>
        <v>FF</v>
      </c>
      <c r="P43" s="29" t="str">
        <f t="shared" si="2"/>
        <v>FF</v>
      </c>
      <c r="Q43" s="29" t="str">
        <f t="shared" si="2"/>
        <v>FF</v>
      </c>
      <c r="R43" s="29" t="str">
        <f t="shared" si="2"/>
        <v>FF</v>
      </c>
      <c r="S43" s="33" t="str">
        <f>K43&amp;L43&amp;M43&amp;N43&amp;O43&amp;P43&amp;Q43&amp;R43</f>
        <v>3300FFFFFFFFFFFF</v>
      </c>
    </row>
    <row r="44" spans="1:22" ht="60">
      <c r="A44" s="58" t="s">
        <v>464</v>
      </c>
      <c r="B44" s="27" t="s">
        <v>316</v>
      </c>
      <c r="C44" s="49" t="s">
        <v>465</v>
      </c>
      <c r="D44" s="26" t="s">
        <v>466</v>
      </c>
      <c r="E44" s="26" t="s">
        <v>467</v>
      </c>
      <c r="F44" s="26" t="s">
        <v>468</v>
      </c>
      <c r="G44" s="27" t="s">
        <v>324</v>
      </c>
      <c r="H44" s="27" t="s">
        <v>128</v>
      </c>
      <c r="I44" s="27" t="s">
        <v>130</v>
      </c>
      <c r="J44" s="27" t="s">
        <v>132</v>
      </c>
      <c r="K44" s="27" t="s">
        <v>316</v>
      </c>
    </row>
    <row r="45" spans="1:22">
      <c r="A45" s="58" t="s">
        <v>469</v>
      </c>
      <c r="B45" s="30" t="str">
        <f>K45</f>
        <v>3600FFFFFFFF0000</v>
      </c>
      <c r="C45" s="50" t="s">
        <v>465</v>
      </c>
      <c r="D45" s="24" t="s">
        <v>372</v>
      </c>
      <c r="E45" s="24">
        <v>65535</v>
      </c>
      <c r="F45" s="24">
        <v>65535</v>
      </c>
      <c r="G45" s="32">
        <v>36</v>
      </c>
      <c r="H45" s="29" t="str">
        <f>"0"&amp;IF(D45="No",0,1)</f>
        <v>00</v>
      </c>
      <c r="I45" s="29" t="str">
        <f>DEC2HEX(E45,4)</f>
        <v>FFFF</v>
      </c>
      <c r="J45" s="29" t="str">
        <f>DEC2HEX(F45,4)</f>
        <v>FFFF</v>
      </c>
      <c r="K45" s="33" t="str">
        <f>G45&amp;H45&amp;I45&amp;J45&amp;"0000"</f>
        <v>3600FFFFFFFF0000</v>
      </c>
    </row>
    <row r="46" spans="1:22" ht="45">
      <c r="A46" s="58" t="s">
        <v>470</v>
      </c>
      <c r="B46" s="27" t="s">
        <v>316</v>
      </c>
      <c r="C46" s="49" t="s">
        <v>471</v>
      </c>
      <c r="D46" s="26" t="s">
        <v>457</v>
      </c>
      <c r="E46" s="26" t="s">
        <v>472</v>
      </c>
      <c r="F46" s="26" t="s">
        <v>473</v>
      </c>
      <c r="G46" s="26" t="s">
        <v>474</v>
      </c>
      <c r="H46" s="27" t="s">
        <v>324</v>
      </c>
      <c r="I46" s="27" t="s">
        <v>128</v>
      </c>
      <c r="J46" s="27" t="s">
        <v>130</v>
      </c>
      <c r="K46" s="27" t="s">
        <v>132</v>
      </c>
      <c r="L46" s="27" t="s">
        <v>134</v>
      </c>
      <c r="M46" s="27" t="s">
        <v>316</v>
      </c>
    </row>
    <row r="47" spans="1:22">
      <c r="A47" s="58" t="s">
        <v>475</v>
      </c>
      <c r="B47" s="30" t="str">
        <f>M47</f>
        <v>3501FFFFFFFFFFFF</v>
      </c>
      <c r="C47" s="50" t="s">
        <v>471</v>
      </c>
      <c r="D47" s="24" t="s">
        <v>336</v>
      </c>
      <c r="E47" s="24">
        <v>65535</v>
      </c>
      <c r="F47" s="24">
        <v>65535</v>
      </c>
      <c r="G47" s="24">
        <v>65535</v>
      </c>
      <c r="H47" s="32">
        <v>35</v>
      </c>
      <c r="I47" s="29" t="str">
        <f>"0"&amp;IF(D47="No",0,1)</f>
        <v>01</v>
      </c>
      <c r="J47" s="29" t="str">
        <f>DEC2HEX(E47,4)</f>
        <v>FFFF</v>
      </c>
      <c r="K47" s="29" t="str">
        <f t="shared" ref="K47:L47" si="3">DEC2HEX(F47,4)</f>
        <v>FFFF</v>
      </c>
      <c r="L47" s="29" t="str">
        <f t="shared" si="3"/>
        <v>FFFF</v>
      </c>
      <c r="M47" s="33" t="str">
        <f>H47&amp;I47&amp;J47&amp;K47&amp;L47</f>
        <v>3501FFFFFFFFFFFF</v>
      </c>
    </row>
    <row r="48" spans="1:22">
      <c r="A48" s="58" t="s">
        <v>476</v>
      </c>
      <c r="B48" s="27" t="s">
        <v>316</v>
      </c>
      <c r="C48" s="49" t="s">
        <v>477</v>
      </c>
      <c r="D48" s="26" t="s">
        <v>478</v>
      </c>
      <c r="E48" s="27" t="s">
        <v>324</v>
      </c>
      <c r="F48" s="27" t="s">
        <v>128</v>
      </c>
      <c r="G48" s="27" t="s">
        <v>316</v>
      </c>
    </row>
    <row r="49" spans="1:17">
      <c r="A49" s="58" t="s">
        <v>479</v>
      </c>
      <c r="B49" s="30" t="str">
        <f>G49</f>
        <v>EB01</v>
      </c>
      <c r="C49" s="50" t="s">
        <v>477</v>
      </c>
      <c r="D49" s="24" t="s">
        <v>336</v>
      </c>
      <c r="E49" s="32" t="s">
        <v>480</v>
      </c>
      <c r="F49" s="29" t="str">
        <f>"0"&amp;IF(D49="No",0,1)</f>
        <v>01</v>
      </c>
      <c r="G49" s="30" t="str">
        <f>E49&amp;F49</f>
        <v>EB01</v>
      </c>
    </row>
    <row r="50" spans="1:17" ht="39">
      <c r="A50" s="58" t="s">
        <v>481</v>
      </c>
      <c r="B50" s="27" t="s">
        <v>316</v>
      </c>
      <c r="C50" s="49" t="s">
        <v>482</v>
      </c>
      <c r="D50" s="26" t="s">
        <v>364</v>
      </c>
      <c r="E50" s="26" t="s">
        <v>483</v>
      </c>
      <c r="F50" s="26" t="s">
        <v>484</v>
      </c>
      <c r="G50" s="26" t="s">
        <v>485</v>
      </c>
      <c r="H50" s="26" t="s">
        <v>486</v>
      </c>
      <c r="I50" s="26" t="s">
        <v>487</v>
      </c>
      <c r="J50" s="26" t="s">
        <v>319</v>
      </c>
      <c r="K50" s="26" t="s">
        <v>488</v>
      </c>
      <c r="L50" s="27" t="s">
        <v>324</v>
      </c>
      <c r="M50" s="27" t="s">
        <v>128</v>
      </c>
      <c r="N50" s="27" t="s">
        <v>130</v>
      </c>
      <c r="O50" s="27" t="s">
        <v>132</v>
      </c>
      <c r="P50" s="27" t="s">
        <v>134</v>
      </c>
      <c r="Q50" s="27" t="s">
        <v>445</v>
      </c>
    </row>
    <row r="51" spans="1:17">
      <c r="A51" s="58" t="s">
        <v>489</v>
      </c>
      <c r="B51" s="30" t="str">
        <f>Q51</f>
        <v>300020FFFF000000</v>
      </c>
      <c r="C51" s="50" t="s">
        <v>482</v>
      </c>
      <c r="D51" s="24" t="s">
        <v>372</v>
      </c>
      <c r="E51" s="24">
        <v>8</v>
      </c>
      <c r="F51" s="24" t="s">
        <v>336</v>
      </c>
      <c r="G51" s="24" t="s">
        <v>336</v>
      </c>
      <c r="H51" s="24" t="s">
        <v>327</v>
      </c>
      <c r="I51" s="24">
        <v>127</v>
      </c>
      <c r="J51" s="24" t="s">
        <v>327</v>
      </c>
      <c r="K51" s="24">
        <v>127</v>
      </c>
      <c r="L51" s="32">
        <v>30</v>
      </c>
      <c r="M51" s="29" t="str">
        <f>"0"&amp;IF(D51="No",0,1)</f>
        <v>00</v>
      </c>
      <c r="N51" s="29" t="str">
        <f>BIN2HEX("00"&amp;DEC2BIN(E51,4)&amp;IF(F51="No",1,0)&amp;IF(G51="No",1,0),2)</f>
        <v>20</v>
      </c>
      <c r="O51" s="29" t="str">
        <f>IF(H51="Minutes",DEC2HEX(128+I51),DEC2HEX(I51,2))</f>
        <v>FF</v>
      </c>
      <c r="P51" s="29" t="str">
        <f>IF(J51="Minutes",DEC2HEX(128+K51),DEC2HEX(K51,2))</f>
        <v>FF</v>
      </c>
      <c r="Q51" s="33" t="str">
        <f>L51&amp;M51&amp;N51&amp;O51&amp;P51&amp;"000000"</f>
        <v>300020FFFF000000</v>
      </c>
    </row>
    <row r="52" spans="1:17" ht="60">
      <c r="A52" s="58" t="s">
        <v>490</v>
      </c>
      <c r="B52" s="27" t="s">
        <v>316</v>
      </c>
      <c r="C52" s="49" t="s">
        <v>491</v>
      </c>
      <c r="D52" s="26" t="s">
        <v>466</v>
      </c>
      <c r="E52" s="26" t="s">
        <v>492</v>
      </c>
      <c r="F52" s="26" t="s">
        <v>493</v>
      </c>
      <c r="G52" s="27" t="s">
        <v>324</v>
      </c>
      <c r="H52" s="27" t="s">
        <v>128</v>
      </c>
      <c r="I52" s="27" t="s">
        <v>130</v>
      </c>
      <c r="J52" s="27" t="s">
        <v>132</v>
      </c>
      <c r="K52" s="27" t="s">
        <v>316</v>
      </c>
    </row>
    <row r="53" spans="1:17">
      <c r="A53" s="58" t="s">
        <v>494</v>
      </c>
      <c r="B53" s="30" t="str">
        <f>K53</f>
        <v>4200FFFFFFFF0000</v>
      </c>
      <c r="C53" s="50" t="s">
        <v>491</v>
      </c>
      <c r="D53" s="24" t="s">
        <v>372</v>
      </c>
      <c r="E53" s="24">
        <v>65535</v>
      </c>
      <c r="F53" s="24">
        <v>65535</v>
      </c>
      <c r="G53" s="32">
        <v>42</v>
      </c>
      <c r="H53" s="29" t="str">
        <f>"0"&amp;IF(D53="No",0,1)</f>
        <v>00</v>
      </c>
      <c r="I53" s="29" t="str">
        <f>DEC2HEX(E53,4)</f>
        <v>FFFF</v>
      </c>
      <c r="J53" s="29" t="str">
        <f>DEC2HEX(F53,4)</f>
        <v>FFFF</v>
      </c>
      <c r="K53" s="33" t="str">
        <f>G53&amp;H53&amp;I53&amp;J53&amp;"0000"</f>
        <v>4200FFFFFFFF0000</v>
      </c>
    </row>
    <row r="54" spans="1:17" ht="45">
      <c r="A54" s="58" t="s">
        <v>495</v>
      </c>
      <c r="B54" s="27" t="s">
        <v>316</v>
      </c>
      <c r="C54" s="49" t="s">
        <v>496</v>
      </c>
      <c r="D54" s="26" t="s">
        <v>457</v>
      </c>
      <c r="E54" s="26" t="s">
        <v>497</v>
      </c>
      <c r="F54" s="26" t="s">
        <v>498</v>
      </c>
      <c r="G54" s="26" t="s">
        <v>499</v>
      </c>
      <c r="H54" s="27" t="s">
        <v>324</v>
      </c>
      <c r="I54" s="27" t="s">
        <v>128</v>
      </c>
      <c r="J54" s="27" t="s">
        <v>130</v>
      </c>
      <c r="K54" s="27" t="s">
        <v>132</v>
      </c>
      <c r="L54" s="27" t="s">
        <v>134</v>
      </c>
      <c r="M54" s="27" t="s">
        <v>316</v>
      </c>
    </row>
    <row r="55" spans="1:17">
      <c r="A55" s="58" t="s">
        <v>500</v>
      </c>
      <c r="B55" s="30" t="str">
        <f>M55</f>
        <v>4101FFFFFFFFFFFF</v>
      </c>
      <c r="C55" s="50" t="s">
        <v>496</v>
      </c>
      <c r="D55" s="24" t="s">
        <v>336</v>
      </c>
      <c r="E55" s="24">
        <v>65535</v>
      </c>
      <c r="F55" s="24">
        <v>65535</v>
      </c>
      <c r="G55" s="24">
        <v>65535</v>
      </c>
      <c r="H55" s="32">
        <v>41</v>
      </c>
      <c r="I55" s="29" t="str">
        <f>"0"&amp;IF(D55="No",0,1)</f>
        <v>01</v>
      </c>
      <c r="J55" s="29" t="str">
        <f>DEC2HEX(E55,4)</f>
        <v>FFFF</v>
      </c>
      <c r="K55" s="29" t="str">
        <f t="shared" ref="K55:L55" si="4">DEC2HEX(F55,4)</f>
        <v>FFFF</v>
      </c>
      <c r="L55" s="29" t="str">
        <f t="shared" si="4"/>
        <v>FFFF</v>
      </c>
      <c r="M55" s="33" t="str">
        <f>H55&amp;I55&amp;J55&amp;K55&amp;L55</f>
        <v>4101FFFFFFFFFFFF</v>
      </c>
    </row>
    <row r="56" spans="1:17" ht="45">
      <c r="A56" s="58" t="s">
        <v>501</v>
      </c>
      <c r="B56" s="27" t="s">
        <v>316</v>
      </c>
      <c r="C56" s="49" t="s">
        <v>502</v>
      </c>
      <c r="D56" s="26" t="s">
        <v>457</v>
      </c>
      <c r="E56" s="26" t="s">
        <v>503</v>
      </c>
      <c r="F56" s="26" t="s">
        <v>504</v>
      </c>
      <c r="G56" s="26" t="s">
        <v>505</v>
      </c>
      <c r="H56" s="27" t="s">
        <v>324</v>
      </c>
      <c r="I56" s="27" t="s">
        <v>128</v>
      </c>
      <c r="J56" s="27" t="s">
        <v>130</v>
      </c>
      <c r="K56" s="27" t="s">
        <v>132</v>
      </c>
      <c r="L56" s="27" t="s">
        <v>134</v>
      </c>
      <c r="M56" s="27" t="s">
        <v>316</v>
      </c>
    </row>
    <row r="57" spans="1:17">
      <c r="A57" s="58" t="s">
        <v>506</v>
      </c>
      <c r="B57" s="30" t="str">
        <f>M57</f>
        <v>3700FFFFFFFFFFFF</v>
      </c>
      <c r="C57" s="50" t="s">
        <v>502</v>
      </c>
      <c r="D57" s="24" t="s">
        <v>372</v>
      </c>
      <c r="E57" s="24">
        <v>65535</v>
      </c>
      <c r="F57" s="24">
        <v>65535</v>
      </c>
      <c r="G57" s="24">
        <v>65535</v>
      </c>
      <c r="H57" s="32">
        <v>37</v>
      </c>
      <c r="I57" s="29" t="str">
        <f>"0"&amp;IF(D57="No",0,1)</f>
        <v>00</v>
      </c>
      <c r="J57" s="29" t="str">
        <f>DEC2HEX(E57,4)</f>
        <v>FFFF</v>
      </c>
      <c r="K57" s="29" t="str">
        <f t="shared" ref="K57:L57" si="5">DEC2HEX(F57,4)</f>
        <v>FFFF</v>
      </c>
      <c r="L57" s="29" t="str">
        <f t="shared" si="5"/>
        <v>FFFF</v>
      </c>
      <c r="M57" s="33" t="str">
        <f>H57&amp;I57&amp;J57&amp;K57&amp;L57</f>
        <v>3700FFFFFFFFFFFF</v>
      </c>
    </row>
    <row r="58" spans="1:17" ht="60">
      <c r="A58" s="58" t="s">
        <v>507</v>
      </c>
      <c r="B58" s="27" t="s">
        <v>316</v>
      </c>
      <c r="C58" s="49" t="s">
        <v>508</v>
      </c>
      <c r="D58" s="26" t="s">
        <v>466</v>
      </c>
      <c r="E58" s="26" t="s">
        <v>509</v>
      </c>
      <c r="F58" s="26" t="s">
        <v>510</v>
      </c>
      <c r="G58" s="27" t="s">
        <v>324</v>
      </c>
      <c r="H58" s="27" t="s">
        <v>128</v>
      </c>
      <c r="I58" s="27" t="s">
        <v>130</v>
      </c>
      <c r="J58" s="27" t="s">
        <v>132</v>
      </c>
      <c r="K58" s="27" t="s">
        <v>316</v>
      </c>
    </row>
    <row r="59" spans="1:17">
      <c r="A59" s="58" t="s">
        <v>511</v>
      </c>
      <c r="B59" s="30" t="str">
        <f>K59</f>
        <v>3801FFFFFFFF0000</v>
      </c>
      <c r="C59" s="50" t="s">
        <v>508</v>
      </c>
      <c r="D59" s="24" t="s">
        <v>336</v>
      </c>
      <c r="E59" s="24">
        <v>65535</v>
      </c>
      <c r="F59" s="24">
        <v>65535</v>
      </c>
      <c r="G59" s="32">
        <v>38</v>
      </c>
      <c r="H59" s="29" t="str">
        <f>"0"&amp;IF(D59="No",0,1)</f>
        <v>01</v>
      </c>
      <c r="I59" s="29" t="str">
        <f>DEC2HEX(E59,4)</f>
        <v>FFFF</v>
      </c>
      <c r="J59" s="29" t="str">
        <f>DEC2HEX(F59,4)</f>
        <v>FFFF</v>
      </c>
      <c r="K59" s="33" t="str">
        <f>G59&amp;H59&amp;I59&amp;J59&amp;"0000"</f>
        <v>3801FFFFFFFF0000</v>
      </c>
    </row>
    <row r="60" spans="1:17" ht="45">
      <c r="A60" s="58" t="s">
        <v>512</v>
      </c>
      <c r="B60" s="27" t="s">
        <v>316</v>
      </c>
      <c r="C60" s="49" t="s">
        <v>513</v>
      </c>
      <c r="D60" s="26" t="s">
        <v>457</v>
      </c>
      <c r="E60" s="26" t="s">
        <v>514</v>
      </c>
      <c r="F60" s="26" t="s">
        <v>515</v>
      </c>
      <c r="G60" s="26" t="s">
        <v>516</v>
      </c>
      <c r="H60" s="27" t="s">
        <v>324</v>
      </c>
      <c r="I60" s="27" t="s">
        <v>128</v>
      </c>
      <c r="J60" s="27" t="s">
        <v>130</v>
      </c>
      <c r="K60" s="27" t="s">
        <v>132</v>
      </c>
      <c r="L60" s="27" t="s">
        <v>134</v>
      </c>
      <c r="M60" s="27" t="s">
        <v>316</v>
      </c>
    </row>
    <row r="61" spans="1:17">
      <c r="A61" s="58" t="s">
        <v>517</v>
      </c>
      <c r="B61" s="30" t="str">
        <f>M61</f>
        <v>3901FFFFFFFFFFFF</v>
      </c>
      <c r="C61" s="50" t="s">
        <v>513</v>
      </c>
      <c r="D61" s="24" t="s">
        <v>336</v>
      </c>
      <c r="E61" s="24">
        <v>65535</v>
      </c>
      <c r="F61" s="24">
        <v>65535</v>
      </c>
      <c r="G61" s="24">
        <v>65535</v>
      </c>
      <c r="H61" s="32">
        <v>39</v>
      </c>
      <c r="I61" s="29" t="str">
        <f>"0"&amp;IF(D61="No",0,1)</f>
        <v>01</v>
      </c>
      <c r="J61" s="29" t="str">
        <f>DEC2HEX(E61,4)</f>
        <v>FFFF</v>
      </c>
      <c r="K61" s="29" t="str">
        <f t="shared" ref="K61:L61" si="6">DEC2HEX(F61,4)</f>
        <v>FFFF</v>
      </c>
      <c r="L61" s="29" t="str">
        <f t="shared" si="6"/>
        <v>FFFF</v>
      </c>
      <c r="M61" s="33" t="str">
        <f>H61&amp;I61&amp;J61&amp;K61&amp;L61</f>
        <v>3901FFFFFFFFFFFF</v>
      </c>
    </row>
    <row r="62" spans="1:17" ht="60">
      <c r="A62" s="58" t="s">
        <v>518</v>
      </c>
      <c r="B62" s="27" t="s">
        <v>316</v>
      </c>
      <c r="C62" s="49" t="s">
        <v>519</v>
      </c>
      <c r="D62" s="26" t="s">
        <v>466</v>
      </c>
      <c r="E62" s="26" t="s">
        <v>520</v>
      </c>
      <c r="F62" s="26" t="s">
        <v>521</v>
      </c>
      <c r="G62" s="27" t="s">
        <v>324</v>
      </c>
      <c r="H62" s="27" t="s">
        <v>128</v>
      </c>
      <c r="I62" s="27" t="s">
        <v>130</v>
      </c>
      <c r="J62" s="27" t="s">
        <v>132</v>
      </c>
      <c r="K62" s="27" t="s">
        <v>316</v>
      </c>
    </row>
    <row r="63" spans="1:17">
      <c r="A63" s="58" t="s">
        <v>522</v>
      </c>
      <c r="B63" s="30" t="str">
        <f>K63</f>
        <v>3A01FFFFFFFF0000</v>
      </c>
      <c r="C63" s="50" t="s">
        <v>519</v>
      </c>
      <c r="D63" s="24" t="s">
        <v>336</v>
      </c>
      <c r="E63" s="24">
        <v>65535</v>
      </c>
      <c r="F63" s="24">
        <v>65535</v>
      </c>
      <c r="G63" s="32" t="s">
        <v>523</v>
      </c>
      <c r="H63" s="29" t="str">
        <f>"0"&amp;IF(D63="No",0,1)</f>
        <v>01</v>
      </c>
      <c r="I63" s="29" t="str">
        <f>DEC2HEX(E63,4)</f>
        <v>FFFF</v>
      </c>
      <c r="J63" s="29" t="str">
        <f>DEC2HEX(F63,4)</f>
        <v>FFFF</v>
      </c>
      <c r="K63" s="33" t="str">
        <f>G63&amp;H63&amp;I63&amp;J63&amp;"0000"</f>
        <v>3A01FFFFFFFF0000</v>
      </c>
    </row>
    <row r="64" spans="1:17" ht="45">
      <c r="A64" s="58" t="s">
        <v>524</v>
      </c>
      <c r="B64" s="27" t="s">
        <v>316</v>
      </c>
      <c r="C64" s="49" t="s">
        <v>525</v>
      </c>
      <c r="D64" s="26" t="s">
        <v>457</v>
      </c>
      <c r="E64" s="26" t="s">
        <v>526</v>
      </c>
      <c r="F64" s="26" t="s">
        <v>527</v>
      </c>
      <c r="G64" s="26" t="s">
        <v>528</v>
      </c>
      <c r="H64" s="27" t="s">
        <v>324</v>
      </c>
      <c r="I64" s="27" t="s">
        <v>128</v>
      </c>
      <c r="J64" s="27" t="s">
        <v>130</v>
      </c>
      <c r="K64" s="27" t="s">
        <v>132</v>
      </c>
      <c r="L64" s="27" t="s">
        <v>134</v>
      </c>
      <c r="M64" s="27" t="s">
        <v>316</v>
      </c>
    </row>
    <row r="65" spans="1:22">
      <c r="A65" s="58" t="s">
        <v>529</v>
      </c>
      <c r="B65" s="30" t="str">
        <f>M65</f>
        <v>3B01FFFFFFFFFFFF</v>
      </c>
      <c r="C65" s="50" t="s">
        <v>525</v>
      </c>
      <c r="D65" s="24" t="s">
        <v>336</v>
      </c>
      <c r="E65" s="24">
        <v>65535</v>
      </c>
      <c r="F65" s="24">
        <v>65535</v>
      </c>
      <c r="G65" s="24">
        <v>65535</v>
      </c>
      <c r="H65" s="32" t="s">
        <v>530</v>
      </c>
      <c r="I65" s="29" t="str">
        <f>"0"&amp;IF(D65="No",0,1)</f>
        <v>01</v>
      </c>
      <c r="J65" s="29" t="str">
        <f>DEC2HEX(E65,4)</f>
        <v>FFFF</v>
      </c>
      <c r="K65" s="29" t="str">
        <f t="shared" ref="K65:L65" si="7">DEC2HEX(F65,4)</f>
        <v>FFFF</v>
      </c>
      <c r="L65" s="29" t="str">
        <f t="shared" si="7"/>
        <v>FFFF</v>
      </c>
      <c r="M65" s="33" t="str">
        <f>H65&amp;I65&amp;J65&amp;K65&amp;L65</f>
        <v>3B01FFFFFFFFFFFF</v>
      </c>
    </row>
    <row r="66" spans="1:22" ht="60">
      <c r="A66" s="58" t="s">
        <v>531</v>
      </c>
      <c r="B66" s="27" t="s">
        <v>316</v>
      </c>
      <c r="C66" s="49" t="s">
        <v>532</v>
      </c>
      <c r="D66" s="26" t="s">
        <v>466</v>
      </c>
      <c r="E66" s="26" t="s">
        <v>533</v>
      </c>
      <c r="F66" s="26" t="s">
        <v>534</v>
      </c>
      <c r="G66" s="27" t="s">
        <v>324</v>
      </c>
      <c r="H66" s="27" t="s">
        <v>128</v>
      </c>
      <c r="I66" s="27" t="s">
        <v>130</v>
      </c>
      <c r="J66" s="27" t="s">
        <v>132</v>
      </c>
      <c r="K66" s="27" t="s">
        <v>316</v>
      </c>
    </row>
    <row r="67" spans="1:22">
      <c r="A67" s="58" t="s">
        <v>535</v>
      </c>
      <c r="B67" s="30" t="str">
        <f>K67</f>
        <v>3C01FFFFFFFF0000</v>
      </c>
      <c r="C67" s="50" t="s">
        <v>532</v>
      </c>
      <c r="D67" s="24" t="s">
        <v>336</v>
      </c>
      <c r="E67" s="24">
        <v>65535</v>
      </c>
      <c r="F67" s="24">
        <v>65535</v>
      </c>
      <c r="G67" s="32" t="s">
        <v>536</v>
      </c>
      <c r="H67" s="29" t="str">
        <f>"0"&amp;IF(D67="No",0,1)</f>
        <v>01</v>
      </c>
      <c r="I67" s="29" t="str">
        <f>DEC2HEX(E67,4)</f>
        <v>FFFF</v>
      </c>
      <c r="J67" s="29" t="str">
        <f>DEC2HEX(F67,4)</f>
        <v>FFFF</v>
      </c>
      <c r="K67" s="33" t="str">
        <f>G67&amp;H67&amp;I67&amp;J67&amp;"0000"</f>
        <v>3C01FFFFFFFF0000</v>
      </c>
    </row>
    <row r="68" spans="1:22" ht="45">
      <c r="A68" s="58" t="s">
        <v>537</v>
      </c>
      <c r="B68" s="27" t="s">
        <v>316</v>
      </c>
      <c r="C68" s="49" t="s">
        <v>538</v>
      </c>
      <c r="D68" s="26" t="s">
        <v>457</v>
      </c>
      <c r="E68" s="26" t="s">
        <v>539</v>
      </c>
      <c r="F68" s="26" t="s">
        <v>540</v>
      </c>
      <c r="G68" s="26" t="s">
        <v>541</v>
      </c>
      <c r="H68" s="27" t="s">
        <v>324</v>
      </c>
      <c r="I68" s="27" t="s">
        <v>128</v>
      </c>
      <c r="J68" s="27" t="s">
        <v>130</v>
      </c>
      <c r="K68" s="27" t="s">
        <v>132</v>
      </c>
      <c r="L68" s="27" t="s">
        <v>134</v>
      </c>
      <c r="M68" s="27" t="s">
        <v>316</v>
      </c>
    </row>
    <row r="69" spans="1:22">
      <c r="A69" s="58" t="s">
        <v>542</v>
      </c>
      <c r="B69" s="30" t="str">
        <f>M69</f>
        <v>3D01FFFFFFFFFFFF</v>
      </c>
      <c r="C69" s="50" t="s">
        <v>538</v>
      </c>
      <c r="D69" s="24" t="s">
        <v>336</v>
      </c>
      <c r="E69" s="24">
        <v>65535</v>
      </c>
      <c r="F69" s="24">
        <v>65535</v>
      </c>
      <c r="G69" s="24">
        <v>65535</v>
      </c>
      <c r="H69" s="32" t="s">
        <v>543</v>
      </c>
      <c r="I69" s="29" t="str">
        <f>"0"&amp;IF(D69="No",0,1)</f>
        <v>01</v>
      </c>
      <c r="J69" s="29" t="str">
        <f>DEC2HEX(E69,4)</f>
        <v>FFFF</v>
      </c>
      <c r="K69" s="29" t="str">
        <f t="shared" ref="K69:L69" si="8">DEC2HEX(F69,4)</f>
        <v>FFFF</v>
      </c>
      <c r="L69" s="29" t="str">
        <f t="shared" si="8"/>
        <v>FFFF</v>
      </c>
      <c r="M69" s="33" t="str">
        <f>H69&amp;I69&amp;J69&amp;K69&amp;L69</f>
        <v>3D01FFFFFFFFFFFF</v>
      </c>
    </row>
    <row r="70" spans="1:22" ht="60">
      <c r="A70" s="58" t="s">
        <v>544</v>
      </c>
      <c r="B70" s="27" t="s">
        <v>316</v>
      </c>
      <c r="C70" s="49" t="s">
        <v>545</v>
      </c>
      <c r="D70" s="26" t="s">
        <v>466</v>
      </c>
      <c r="E70" s="26" t="s">
        <v>546</v>
      </c>
      <c r="F70" s="26" t="s">
        <v>547</v>
      </c>
      <c r="G70" s="27" t="s">
        <v>324</v>
      </c>
      <c r="H70" s="27" t="s">
        <v>128</v>
      </c>
      <c r="I70" s="27" t="s">
        <v>130</v>
      </c>
      <c r="J70" s="27" t="s">
        <v>132</v>
      </c>
      <c r="K70" s="27" t="s">
        <v>316</v>
      </c>
    </row>
    <row r="71" spans="1:22">
      <c r="A71" s="58" t="s">
        <v>548</v>
      </c>
      <c r="B71" s="30" t="str">
        <f>K71</f>
        <v>3E01FFFFFFFF0000</v>
      </c>
      <c r="C71" s="50" t="s">
        <v>545</v>
      </c>
      <c r="D71" s="24" t="s">
        <v>336</v>
      </c>
      <c r="E71" s="24">
        <v>65535</v>
      </c>
      <c r="F71" s="24">
        <v>65535</v>
      </c>
      <c r="G71" s="32" t="s">
        <v>549</v>
      </c>
      <c r="H71" s="29" t="str">
        <f>"0"&amp;IF(D71="No",0,1)</f>
        <v>01</v>
      </c>
      <c r="I71" s="29" t="str">
        <f>DEC2HEX(E71,4)</f>
        <v>FFFF</v>
      </c>
      <c r="J71" s="29" t="str">
        <f>DEC2HEX(F71,4)</f>
        <v>FFFF</v>
      </c>
      <c r="K71" s="33" t="str">
        <f>G71&amp;H71&amp;I71&amp;J71&amp;"0000"</f>
        <v>3E01FFFFFFFF0000</v>
      </c>
    </row>
    <row r="72" spans="1:22" ht="60">
      <c r="A72" s="58" t="s">
        <v>550</v>
      </c>
      <c r="B72" s="27" t="s">
        <v>316</v>
      </c>
      <c r="C72" s="49" t="s">
        <v>551</v>
      </c>
      <c r="D72" s="26" t="s">
        <v>552</v>
      </c>
      <c r="E72" s="26" t="s">
        <v>331</v>
      </c>
      <c r="F72" s="26" t="s">
        <v>553</v>
      </c>
      <c r="G72" s="26" t="s">
        <v>330</v>
      </c>
      <c r="H72" s="27" t="s">
        <v>324</v>
      </c>
      <c r="I72" s="27" t="s">
        <v>128</v>
      </c>
      <c r="J72" s="27" t="s">
        <v>130</v>
      </c>
      <c r="K72" s="27" t="s">
        <v>132</v>
      </c>
      <c r="L72" s="27" t="s">
        <v>134</v>
      </c>
      <c r="M72" s="27" t="s">
        <v>316</v>
      </c>
    </row>
    <row r="73" spans="1:22">
      <c r="A73" s="58" t="s">
        <v>554</v>
      </c>
      <c r="B73" s="30" t="str">
        <f>M73</f>
        <v>2001007FFF0000</v>
      </c>
      <c r="C73" s="50" t="s">
        <v>551</v>
      </c>
      <c r="D73" s="24" t="s">
        <v>336</v>
      </c>
      <c r="E73" s="36" t="s">
        <v>335</v>
      </c>
      <c r="F73" s="24">
        <v>127</v>
      </c>
      <c r="G73" s="24">
        <v>63.75</v>
      </c>
      <c r="H73" s="32">
        <v>20</v>
      </c>
      <c r="I73" s="29" t="str">
        <f>"0"&amp;IF(D73="No",0,1)</f>
        <v>01</v>
      </c>
      <c r="J73" s="29" t="str">
        <f>IF(E73="+/-2g","00",IF(E73="+/-4g","01",IF(E73="+/-8g","02",IF(E73="+/-16g","03"))))</f>
        <v>00</v>
      </c>
      <c r="K73" s="29" t="str">
        <f>DEC2HEX(F73,2)</f>
        <v>7F</v>
      </c>
      <c r="L73" s="29" t="str">
        <f>DEC2HEX(INT(G73*4),2)</f>
        <v>FF</v>
      </c>
      <c r="M73" s="33" t="str">
        <f>H73&amp;I73&amp;J73&amp;K73&amp;L73&amp;"0000"</f>
        <v>2001007FFF0000</v>
      </c>
    </row>
    <row r="74" spans="1:22" ht="45">
      <c r="A74" s="58" t="s">
        <v>555</v>
      </c>
      <c r="B74" s="27" t="s">
        <v>316</v>
      </c>
      <c r="C74" s="49" t="s">
        <v>556</v>
      </c>
      <c r="D74" s="26" t="s">
        <v>457</v>
      </c>
      <c r="E74" s="26" t="s">
        <v>539</v>
      </c>
      <c r="F74" s="26" t="s">
        <v>540</v>
      </c>
      <c r="G74" s="26" t="s">
        <v>541</v>
      </c>
      <c r="H74" s="27" t="s">
        <v>324</v>
      </c>
      <c r="I74" s="27" t="s">
        <v>128</v>
      </c>
      <c r="J74" s="27" t="s">
        <v>130</v>
      </c>
      <c r="K74" s="27" t="s">
        <v>132</v>
      </c>
      <c r="L74" s="27" t="s">
        <v>134</v>
      </c>
      <c r="M74" s="27" t="s">
        <v>316</v>
      </c>
    </row>
    <row r="75" spans="1:22">
      <c r="A75" s="58" t="s">
        <v>557</v>
      </c>
      <c r="B75" s="30" t="str">
        <f>M75</f>
        <v>3F01FFFFFFFFFFFF</v>
      </c>
      <c r="C75" s="50" t="s">
        <v>556</v>
      </c>
      <c r="D75" s="24" t="s">
        <v>336</v>
      </c>
      <c r="E75" s="24">
        <v>65535</v>
      </c>
      <c r="F75" s="24">
        <v>65535</v>
      </c>
      <c r="G75" s="24">
        <v>65535</v>
      </c>
      <c r="H75" s="32" t="s">
        <v>558</v>
      </c>
      <c r="I75" s="29" t="str">
        <f>"0"&amp;IF(D75="No",0,1)</f>
        <v>01</v>
      </c>
      <c r="J75" s="29" t="str">
        <f>DEC2HEX(E75,4)</f>
        <v>FFFF</v>
      </c>
      <c r="K75" s="29" t="str">
        <f t="shared" ref="K75:L75" si="9">DEC2HEX(F75,4)</f>
        <v>FFFF</v>
      </c>
      <c r="L75" s="29" t="str">
        <f t="shared" si="9"/>
        <v>FFFF</v>
      </c>
      <c r="M75" s="33" t="str">
        <f>H75&amp;I75&amp;J75&amp;K75&amp;L75</f>
        <v>3F01FFFFFFFFFFFF</v>
      </c>
    </row>
    <row r="76" spans="1:22" ht="60">
      <c r="A76" s="58" t="s">
        <v>559</v>
      </c>
      <c r="B76" s="27" t="s">
        <v>316</v>
      </c>
      <c r="C76" s="49" t="s">
        <v>560</v>
      </c>
      <c r="D76" s="26" t="s">
        <v>466</v>
      </c>
      <c r="E76" s="26" t="s">
        <v>546</v>
      </c>
      <c r="F76" s="26" t="s">
        <v>547</v>
      </c>
      <c r="G76" s="27" t="s">
        <v>324</v>
      </c>
      <c r="H76" s="27" t="s">
        <v>128</v>
      </c>
      <c r="I76" s="27" t="s">
        <v>130</v>
      </c>
      <c r="J76" s="27" t="s">
        <v>132</v>
      </c>
      <c r="K76" s="27" t="s">
        <v>316</v>
      </c>
    </row>
    <row r="77" spans="1:22">
      <c r="A77" s="58" t="s">
        <v>561</v>
      </c>
      <c r="B77" s="30" t="str">
        <f>K77</f>
        <v>4001FFFFFFFF0000</v>
      </c>
      <c r="C77" s="50" t="s">
        <v>560</v>
      </c>
      <c r="D77" s="24" t="s">
        <v>336</v>
      </c>
      <c r="E77" s="24">
        <v>65535</v>
      </c>
      <c r="F77" s="24">
        <v>65535</v>
      </c>
      <c r="G77" s="32">
        <v>40</v>
      </c>
      <c r="H77" s="29" t="str">
        <f>"0"&amp;IF(D77="No",0,1)</f>
        <v>01</v>
      </c>
      <c r="I77" s="29" t="str">
        <f>DEC2HEX(E77,4)</f>
        <v>FFFF</v>
      </c>
      <c r="J77" s="29" t="str">
        <f>DEC2HEX(F77,4)</f>
        <v>FFFF</v>
      </c>
      <c r="K77" s="33" t="str">
        <f>G77&amp;H77&amp;I77&amp;J77&amp;"0000"</f>
        <v>4001FFFFFFFF0000</v>
      </c>
    </row>
    <row r="78" spans="1:22" ht="39">
      <c r="A78" s="58" t="s">
        <v>562</v>
      </c>
      <c r="B78" s="27" t="s">
        <v>316</v>
      </c>
      <c r="C78" s="49" t="s">
        <v>57</v>
      </c>
      <c r="D78" s="26" t="s">
        <v>319</v>
      </c>
      <c r="E78" s="26" t="s">
        <v>320</v>
      </c>
      <c r="F78" s="26" t="s">
        <v>1166</v>
      </c>
      <c r="G78" s="26" t="s">
        <v>563</v>
      </c>
      <c r="H78" s="26" t="s">
        <v>564</v>
      </c>
      <c r="I78" s="26" t="s">
        <v>565</v>
      </c>
      <c r="J78" s="26" t="s">
        <v>566</v>
      </c>
      <c r="K78" s="26" t="s">
        <v>567</v>
      </c>
      <c r="L78" s="26" t="s">
        <v>1169</v>
      </c>
      <c r="M78" s="27" t="s">
        <v>324</v>
      </c>
      <c r="N78" s="27" t="s">
        <v>128</v>
      </c>
      <c r="O78" s="27" t="s">
        <v>130</v>
      </c>
      <c r="P78" s="27" t="s">
        <v>132</v>
      </c>
      <c r="Q78" s="27" t="s">
        <v>134</v>
      </c>
      <c r="R78" s="27" t="s">
        <v>136</v>
      </c>
      <c r="S78" s="27" t="s">
        <v>138</v>
      </c>
      <c r="T78" s="27" t="s">
        <v>140</v>
      </c>
      <c r="U78" s="27" t="s">
        <v>445</v>
      </c>
      <c r="V78" s="27" t="s">
        <v>316</v>
      </c>
    </row>
    <row r="79" spans="1:22">
      <c r="A79" s="58" t="s">
        <v>568</v>
      </c>
      <c r="B79" s="30" t="str">
        <f>V79</f>
        <v>04FFFF0FFF0FFFFF</v>
      </c>
      <c r="C79" s="50" t="s">
        <v>57</v>
      </c>
      <c r="D79" s="24" t="s">
        <v>327</v>
      </c>
      <c r="E79" s="24">
        <v>127</v>
      </c>
      <c r="F79" s="24">
        <v>75</v>
      </c>
      <c r="G79" s="24">
        <v>15</v>
      </c>
      <c r="H79" s="24">
        <v>4095</v>
      </c>
      <c r="I79" s="24">
        <v>4095</v>
      </c>
      <c r="J79" s="24" t="s">
        <v>327</v>
      </c>
      <c r="K79" s="24">
        <v>127</v>
      </c>
      <c r="L79" s="24">
        <v>1275</v>
      </c>
      <c r="M79" s="32" t="s">
        <v>257</v>
      </c>
      <c r="N79" s="29" t="str">
        <f>IF(D79="Minutes",DEC2HEX(128+E79),DEC2HEX(E79,2))</f>
        <v>FF</v>
      </c>
      <c r="O79" s="29" t="str">
        <f>DEC2HEX(F79/5,1)&amp;DEC2HEX(G79,1)</f>
        <v>FF</v>
      </c>
      <c r="P79" s="29" t="str">
        <f>DEC2HEX(ROUNDDOWN(H79/256,1),2)</f>
        <v>0F</v>
      </c>
      <c r="Q79" s="29" t="str">
        <f>RIGHT(DEC2HEX(H79,4),2)</f>
        <v>FF</v>
      </c>
      <c r="R79" s="29" t="str">
        <f>DEC2HEX(ROUNDDOWN(I79/256,1),2)</f>
        <v>0F</v>
      </c>
      <c r="S79" s="29" t="str">
        <f>RIGHT(DEC2HEX(I79,4),2)</f>
        <v>FF</v>
      </c>
      <c r="T79" s="29" t="str">
        <f>IF(J79="Minutes",DEC2HEX(128+K79),DEC2HEX(K79,2))</f>
        <v>FF</v>
      </c>
      <c r="U79" s="29" t="str">
        <f>DEC2HEX(L79/5,2)</f>
        <v>FF</v>
      </c>
      <c r="V79" s="33" t="str">
        <f>M79&amp;N79&amp;O79&amp;P79&amp;Q79&amp;R79&amp;S79&amp;T79</f>
        <v>04FFFF0FFF0FFFFF</v>
      </c>
    </row>
  </sheetData>
  <autoFilter ref="A1:C79" xr:uid="{97C97690-B477-47CA-948D-190FB544A139}">
    <sortState xmlns:xlrd2="http://schemas.microsoft.com/office/spreadsheetml/2017/richdata2" ref="A2:C77">
      <sortCondition ref="A1:A77"/>
    </sortState>
  </autoFilter>
  <phoneticPr fontId="1" type="noConversion"/>
  <conditionalFormatting sqref="D78:L78">
    <cfRule type="containsBlanks" dxfId="2" priority="1">
      <formula>LEN(TRIM(D78))=0</formula>
    </cfRule>
  </conditionalFormatting>
  <dataValidations count="31">
    <dataValidation type="list" allowBlank="1" showInputMessage="1" showErrorMessage="1" sqref="E11 F29 D17:F17 D77 D13 H15 D21:F21 D31:G31 D23:F23 E25 E27 H21:J21 E33 D35 D41 D43 D45 D47 D49 D51 F51:G51 D53 D55 D57 D59 D61 D63 D65 D67 D69 D71 D73 D75 D15:E15" xr:uid="{BA5F9BC5-9EF6-4CA1-9754-26ECB27535FA}">
      <formula1>"Yes, No"</formula1>
    </dataValidation>
    <dataValidation type="list" allowBlank="1" showInputMessage="1" showErrorMessage="1" sqref="E3" xr:uid="{53C78E4F-7668-4406-8B29-CE035A9DEBAF}">
      <formula1>"Minutes, Hours"</formula1>
    </dataValidation>
    <dataValidation type="whole" allowBlank="1" showInputMessage="1" showErrorMessage="1" sqref="D5 I5 F3 H29 G35:H35 I17 G27 H9" xr:uid="{A025DA78-BA12-4022-8591-E5CF233FC548}">
      <formula1>1</formula1>
      <formula2>127</formula2>
    </dataValidation>
    <dataValidation type="whole" allowBlank="1" showInputMessage="1" showErrorMessage="1" sqref="I9 D7:G7 E35:F35 D9:E9 D19 E43:J43 G39:K39 E41:H41" xr:uid="{961EDD18-91BA-450D-87B4-9566D8E62D34}">
      <formula1>0</formula1>
      <formula2>255</formula2>
    </dataValidation>
    <dataValidation type="whole" allowBlank="1" showInputMessage="1" showErrorMessage="1" sqref="J9:K9" xr:uid="{5F561974-F6F6-4D27-B80F-C3D120F8B961}">
      <formula1>-270</formula1>
      <formula2>1820</formula2>
    </dataValidation>
    <dataValidation type="whole" allowBlank="1" showInputMessage="1" showErrorMessage="1" sqref="H7:I7 I35:J35" xr:uid="{F72FD8B5-2858-4480-A0B0-5BFA3F3B8F1B}">
      <formula1>-30</formula1>
      <formula2>70</formula2>
    </dataValidation>
    <dataValidation type="whole" allowBlank="1" showInputMessage="1" showErrorMessage="1" sqref="J7:L7 H27 H35" xr:uid="{2095FC03-5BCD-425A-9146-2EE405F34BE6}">
      <formula1>0</formula1>
      <formula2>16</formula2>
    </dataValidation>
    <dataValidation type="list" allowBlank="1" showInputMessage="1" showErrorMessage="1" sqref="J5" xr:uid="{A77B2F92-0529-4111-B14F-DE0137B636B4}">
      <formula1>"Leave Unchanged,Milliseconds,Seconds,Minutes,Hours"</formula1>
    </dataValidation>
    <dataValidation type="decimal" allowBlank="1" showInputMessage="1" showErrorMessage="1" sqref="G13 H33" xr:uid="{FCB48A84-71DB-4FBA-9E84-44B4CD2F0F71}">
      <formula1>0</formula1>
      <formula2>2.55</formula2>
    </dataValidation>
    <dataValidation type="decimal" allowBlank="1" showInputMessage="1" showErrorMessage="1" sqref="H13:I13" xr:uid="{CD21B6EB-854E-47A9-8005-71F8F7F62206}">
      <formula1>0</formula1>
      <formula2>20</formula2>
    </dataValidation>
    <dataValidation type="list" allowBlank="1" showInputMessage="1" showErrorMessage="1" sqref="F5 E73" xr:uid="{E99871A1-3A88-4B72-BA55-5D3F36224B68}">
      <formula1>"'+/-2g,'+/-4g,'+/-8g,'+/-16g"</formula1>
    </dataValidation>
    <dataValidation type="decimal" allowBlank="1" showInputMessage="1" showErrorMessage="1" sqref="F19" xr:uid="{AB9C18D5-1FB6-4222-9EE3-1FE118139065}">
      <formula1>0.25</formula1>
      <formula2>64</formula2>
    </dataValidation>
    <dataValidation type="decimal" allowBlank="1" showInputMessage="1" showErrorMessage="1" sqref="E19" xr:uid="{7B4FC78C-9B13-490B-8BAC-BA63731BD4C4}">
      <formula1>0.25</formula1>
      <formula2>16383.75</formula2>
    </dataValidation>
    <dataValidation type="whole" allowBlank="1" showInputMessage="1" showErrorMessage="1" sqref="L29 L31:M31 H31:I31" xr:uid="{176EF854-13D9-4A80-8DDC-04FC74D801FE}">
      <formula1>0</formula1>
      <formula2>90</formula2>
    </dataValidation>
    <dataValidation type="list" allowBlank="1" showInputMessage="1" showErrorMessage="1" sqref="D3 D25 D27 E29 D33 D11" xr:uid="{9075F228-C56D-4C23-886B-04DDCBA85F60}">
      <formula1>"Report on Change, Threshold"</formula1>
    </dataValidation>
    <dataValidation type="decimal" allowBlank="1" showInputMessage="1" showErrorMessage="1" sqref="G3" xr:uid="{B103E15D-0670-4D64-807C-B98D7C9E8DF9}">
      <formula1>0.01</formula1>
      <formula2>2.55</formula2>
    </dataValidation>
    <dataValidation type="list" allowBlank="1" showInputMessage="1" showErrorMessage="1" sqref="J17" xr:uid="{C27024A7-A9E0-42C5-B72D-31B7ABF76E09}">
      <formula1>"Leave Unchanged,mS, Seconds, Minutes, Hours"</formula1>
    </dataValidation>
    <dataValidation type="list" allowBlank="1" showInputMessage="1" showErrorMessage="1" sqref="F9 F11 H17 F25 F27 G29 F33 G37 I37 K37 E39 H51 J51 D79" xr:uid="{E0705D56-C932-408E-9FE2-70AFD2554763}">
      <formula1>"Hours, Minutes"</formula1>
    </dataValidation>
    <dataValidation type="list" allowBlank="1" showInputMessage="1" showErrorMessage="1" sqref="D29" xr:uid="{429D131D-3430-4992-B820-2599432207FC}">
      <formula1>ThermocoupleType</formula1>
    </dataValidation>
    <dataValidation type="decimal" allowBlank="1" showInputMessage="1" showErrorMessage="1" sqref="F15:G15 E13:F13" xr:uid="{7EF15D24-2906-4AB2-A67A-E73DC7C5CBB2}">
      <formula1>0</formula1>
      <formula2>16383.75</formula2>
    </dataValidation>
    <dataValidation type="list" allowBlank="1" showInputMessage="1" showErrorMessage="1" sqref="G5:H5" xr:uid="{2BF872D0-AD60-4DC4-A694-62CDFBC31049}">
      <formula1>"No, Yes"</formula1>
    </dataValidation>
    <dataValidation type="list" allowBlank="1" showInputMessage="1" showErrorMessage="1" sqref="D37:F37" xr:uid="{DEC00B4C-5D06-4A6D-B33E-B2E2DB000E0B}">
      <formula1>"Leave Unchanged, Update"</formula1>
    </dataValidation>
    <dataValidation type="whole" allowBlank="1" showInputMessage="1" showErrorMessage="1" sqref="H37 J37 L37 D39 G33 F39 G25 I51 K51 F73 E79 K79" xr:uid="{F3A3FBAF-C573-484C-B541-92317A8CEE80}">
      <formula1>0</formula1>
      <formula2>127</formula2>
    </dataValidation>
    <dataValidation type="whole" allowBlank="1" showInputMessage="1" showErrorMessage="1" sqref="E75:G75 E45:F45 E47:G47 E53:F53 E55:G55 E57:G57 E59:F59 E61:G61 E63:F63 E65:G65 E67:F67 E69:G69 E71:F71 E77:F77" xr:uid="{0E47F9D2-B579-412B-ACB0-28C26B72FBEA}">
      <formula1>0</formula1>
      <formula2>65535</formula2>
    </dataValidation>
    <dataValidation type="whole" allowBlank="1" showInputMessage="1" showErrorMessage="1" sqref="E51" xr:uid="{A36BAD70-EFED-4055-AA51-545C84F67B44}">
      <formula1>1</formula1>
      <formula2>8</formula2>
    </dataValidation>
    <dataValidation type="list" allowBlank="1" showInputMessage="1" showErrorMessage="1" sqref="J79" xr:uid="{648FB9F5-7FDD-4BCE-B1DC-1AD20E789DDA}">
      <formula1>"Minutes, Seconds"</formula1>
    </dataValidation>
    <dataValidation type="whole" allowBlank="1" showInputMessage="1" showErrorMessage="1" sqref="G17" xr:uid="{92E9F892-0B4A-4B23-BC43-5DD0B07DEAF4}">
      <formula1>0</formula1>
      <formula2>7</formula2>
    </dataValidation>
    <dataValidation type="whole" allowBlank="1" showInputMessage="1" showErrorMessage="1" sqref="H27" xr:uid="{F78FEF75-6079-4D9D-8CD5-A9DAEA0C71F9}">
      <formula1>1</formula1>
      <formula2>15</formula2>
    </dataValidation>
    <dataValidation type="whole" allowBlank="1" showInputMessage="1" showErrorMessage="1" sqref="H25 J11 G79" xr:uid="{B92F2A26-FD5F-4862-83E7-4CD07CFD52F9}">
      <formula1>0</formula1>
      <formula2>15</formula2>
    </dataValidation>
    <dataValidation type="list" allowBlank="1" showInputMessage="1" showErrorMessage="1" sqref="L79" xr:uid="{8077788E-4A2C-4B83-ADE6-A7D29005AA78}">
      <formula1>Threshold_Sample5</formula1>
    </dataValidation>
    <dataValidation type="whole" allowBlank="1" showInputMessage="1" showErrorMessage="1" sqref="H79:I79" xr:uid="{CC9C27A8-F3D2-4BA8-9FF6-24B3BCEFB7FE}">
      <formula1>0</formula1>
      <formula2>4095</formula2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775F33-B96E-4F20-B968-3E1B0CC6F464}">
          <x14:formula1>
            <xm:f>Tables!$P$2:$P$17</xm:f>
          </x14:formula1>
          <xm:sqref>F79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4B84-58BC-447F-BBFF-7F0526280D4D}">
  <dimension ref="A1:P257"/>
  <sheetViews>
    <sheetView topLeftCell="B1" workbookViewId="0">
      <selection activeCell="I3" sqref="I3"/>
    </sheetView>
  </sheetViews>
  <sheetFormatPr defaultColWidth="30" defaultRowHeight="15"/>
  <cols>
    <col min="1" max="1" width="12.140625" bestFit="1" customWidth="1"/>
    <col min="2" max="2" width="10.7109375" bestFit="1" customWidth="1"/>
    <col min="3" max="3" width="12.140625" bestFit="1" customWidth="1"/>
    <col min="4" max="4" width="15.7109375" bestFit="1" customWidth="1"/>
    <col min="5" max="5" width="16.5703125" bestFit="1" customWidth="1"/>
    <col min="6" max="6" width="20.140625" bestFit="1" customWidth="1"/>
    <col min="7" max="7" width="18.140625" bestFit="1" customWidth="1"/>
    <col min="8" max="8" width="9.5703125" bestFit="1" customWidth="1"/>
    <col min="9" max="9" width="15.140625" bestFit="1" customWidth="1"/>
    <col min="10" max="11" width="18.85546875" bestFit="1" customWidth="1"/>
    <col min="12" max="12" width="14.85546875" style="2" bestFit="1" customWidth="1"/>
    <col min="13" max="13" width="25.85546875" bestFit="1" customWidth="1"/>
    <col min="14" max="15" width="6.7109375" bestFit="1" customWidth="1"/>
    <col min="16" max="16" width="4.7109375" bestFit="1" customWidth="1"/>
  </cols>
  <sheetData>
    <row r="1" spans="1:16">
      <c r="A1" s="3" t="s">
        <v>569</v>
      </c>
      <c r="B1" s="3" t="s">
        <v>570</v>
      </c>
      <c r="C1" s="3" t="s">
        <v>571</v>
      </c>
      <c r="D1" s="3" t="s">
        <v>572</v>
      </c>
      <c r="E1" s="3" t="s">
        <v>573</v>
      </c>
      <c r="F1" s="3" t="s">
        <v>574</v>
      </c>
      <c r="G1" s="3" t="s">
        <v>575</v>
      </c>
      <c r="H1" s="3" t="s">
        <v>576</v>
      </c>
      <c r="I1" s="3" t="s">
        <v>577</v>
      </c>
      <c r="J1" s="3" t="s">
        <v>578</v>
      </c>
      <c r="K1" s="3" t="s">
        <v>579</v>
      </c>
      <c r="L1" s="19" t="s">
        <v>580</v>
      </c>
      <c r="M1" s="3" t="s">
        <v>581</v>
      </c>
      <c r="N1" s="3" t="s">
        <v>1171</v>
      </c>
      <c r="O1" s="3" t="s">
        <v>1172</v>
      </c>
      <c r="P1" s="3" t="s">
        <v>1173</v>
      </c>
    </row>
    <row r="2" spans="1:16">
      <c r="A2">
        <v>250</v>
      </c>
      <c r="B2">
        <v>1</v>
      </c>
      <c r="C2" t="s">
        <v>583</v>
      </c>
      <c r="D2" t="s">
        <v>584</v>
      </c>
      <c r="E2">
        <v>0.25</v>
      </c>
      <c r="F2" t="s">
        <v>147</v>
      </c>
      <c r="G2">
        <v>0</v>
      </c>
      <c r="H2">
        <v>0</v>
      </c>
      <c r="I2">
        <v>0</v>
      </c>
      <c r="J2" t="s">
        <v>585</v>
      </c>
      <c r="K2" s="23" t="s">
        <v>584</v>
      </c>
      <c r="L2" s="2" t="s">
        <v>142</v>
      </c>
      <c r="M2" t="s">
        <v>586</v>
      </c>
      <c r="N2">
        <v>0</v>
      </c>
      <c r="O2">
        <v>0</v>
      </c>
      <c r="P2">
        <v>0</v>
      </c>
    </row>
    <row r="3" spans="1:16">
      <c r="A3">
        <v>500</v>
      </c>
      <c r="B3">
        <v>2</v>
      </c>
      <c r="C3" t="s">
        <v>587</v>
      </c>
      <c r="D3" t="s">
        <v>588</v>
      </c>
      <c r="E3">
        <v>0.5</v>
      </c>
      <c r="F3" t="s">
        <v>151</v>
      </c>
      <c r="G3">
        <v>5</v>
      </c>
      <c r="H3">
        <v>0.25</v>
      </c>
      <c r="I3">
        <v>10</v>
      </c>
      <c r="J3" t="s">
        <v>589</v>
      </c>
      <c r="K3" s="23" t="s">
        <v>588</v>
      </c>
      <c r="L3" s="2" t="s">
        <v>147</v>
      </c>
      <c r="M3" t="s">
        <v>590</v>
      </c>
      <c r="N3">
        <v>10</v>
      </c>
      <c r="O3">
        <v>5</v>
      </c>
      <c r="P3">
        <v>5</v>
      </c>
    </row>
    <row r="4" spans="1:16">
      <c r="A4">
        <v>750</v>
      </c>
      <c r="B4">
        <v>3</v>
      </c>
      <c r="C4" t="s">
        <v>591</v>
      </c>
      <c r="D4" t="s">
        <v>592</v>
      </c>
      <c r="E4">
        <v>0.75</v>
      </c>
      <c r="F4" t="s">
        <v>154</v>
      </c>
      <c r="G4">
        <v>10</v>
      </c>
      <c r="H4">
        <v>0.5</v>
      </c>
      <c r="I4">
        <v>20</v>
      </c>
      <c r="J4" t="s">
        <v>593</v>
      </c>
      <c r="K4" s="23" t="s">
        <v>594</v>
      </c>
      <c r="L4" s="2" t="s">
        <v>151</v>
      </c>
      <c r="M4" t="s">
        <v>595</v>
      </c>
      <c r="N4">
        <v>20</v>
      </c>
      <c r="O4">
        <v>10</v>
      </c>
      <c r="P4">
        <v>10</v>
      </c>
    </row>
    <row r="5" spans="1:16">
      <c r="A5">
        <v>1000</v>
      </c>
      <c r="B5">
        <v>4</v>
      </c>
      <c r="C5" t="s">
        <v>596</v>
      </c>
      <c r="D5" t="s">
        <v>597</v>
      </c>
      <c r="E5">
        <v>1</v>
      </c>
      <c r="F5" t="s">
        <v>257</v>
      </c>
      <c r="G5">
        <v>15</v>
      </c>
      <c r="H5">
        <v>1</v>
      </c>
      <c r="I5">
        <v>30</v>
      </c>
      <c r="J5" t="s">
        <v>407</v>
      </c>
      <c r="K5" s="23" t="s">
        <v>598</v>
      </c>
      <c r="L5" s="2" t="s">
        <v>154</v>
      </c>
      <c r="M5" t="s">
        <v>599</v>
      </c>
      <c r="N5">
        <v>30</v>
      </c>
      <c r="O5">
        <v>15</v>
      </c>
      <c r="P5">
        <v>15</v>
      </c>
    </row>
    <row r="6" spans="1:16">
      <c r="A6">
        <v>1250</v>
      </c>
      <c r="B6">
        <v>5</v>
      </c>
      <c r="C6" t="s">
        <v>600</v>
      </c>
      <c r="D6" t="s">
        <v>601</v>
      </c>
      <c r="E6">
        <v>2</v>
      </c>
      <c r="F6" t="s">
        <v>164</v>
      </c>
      <c r="G6">
        <v>20</v>
      </c>
      <c r="H6">
        <v>2</v>
      </c>
      <c r="I6">
        <v>40</v>
      </c>
      <c r="J6" t="s">
        <v>602</v>
      </c>
      <c r="K6" s="23" t="s">
        <v>603</v>
      </c>
      <c r="L6" s="2" t="s">
        <v>257</v>
      </c>
      <c r="M6" t="s">
        <v>604</v>
      </c>
      <c r="N6">
        <v>40</v>
      </c>
      <c r="O6">
        <v>20</v>
      </c>
      <c r="P6">
        <v>20</v>
      </c>
    </row>
    <row r="7" spans="1:16">
      <c r="A7">
        <v>1500</v>
      </c>
      <c r="B7">
        <v>6</v>
      </c>
      <c r="C7" t="s">
        <v>605</v>
      </c>
      <c r="D7" t="s">
        <v>606</v>
      </c>
      <c r="E7">
        <v>3</v>
      </c>
      <c r="F7" t="s">
        <v>607</v>
      </c>
      <c r="G7">
        <v>25</v>
      </c>
      <c r="H7">
        <v>3</v>
      </c>
      <c r="I7">
        <v>50</v>
      </c>
      <c r="J7" t="s">
        <v>608</v>
      </c>
      <c r="K7" s="23" t="s">
        <v>609</v>
      </c>
      <c r="L7" s="2" t="s">
        <v>271</v>
      </c>
      <c r="M7" t="s">
        <v>610</v>
      </c>
      <c r="N7">
        <v>50</v>
      </c>
      <c r="O7">
        <v>25</v>
      </c>
      <c r="P7">
        <v>25</v>
      </c>
    </row>
    <row r="8" spans="1:16">
      <c r="A8">
        <v>1750</v>
      </c>
      <c r="B8">
        <v>7</v>
      </c>
      <c r="C8" t="s">
        <v>611</v>
      </c>
      <c r="D8" t="s">
        <v>594</v>
      </c>
      <c r="E8">
        <v>4</v>
      </c>
      <c r="F8" t="s">
        <v>190</v>
      </c>
      <c r="G8">
        <v>30</v>
      </c>
      <c r="H8">
        <v>4</v>
      </c>
      <c r="I8">
        <v>60</v>
      </c>
      <c r="J8" t="s">
        <v>612</v>
      </c>
      <c r="K8" s="23" t="s">
        <v>613</v>
      </c>
      <c r="L8" s="2" t="s">
        <v>157</v>
      </c>
      <c r="M8" t="s">
        <v>614</v>
      </c>
      <c r="N8">
        <v>60</v>
      </c>
      <c r="O8">
        <v>30</v>
      </c>
      <c r="P8">
        <v>30</v>
      </c>
    </row>
    <row r="9" spans="1:16">
      <c r="A9">
        <v>2000</v>
      </c>
      <c r="B9">
        <v>8</v>
      </c>
      <c r="C9" t="s">
        <v>615</v>
      </c>
      <c r="D9" t="s">
        <v>616</v>
      </c>
      <c r="E9">
        <v>5</v>
      </c>
      <c r="F9" t="s">
        <v>200</v>
      </c>
      <c r="G9">
        <v>35</v>
      </c>
      <c r="H9">
        <v>5</v>
      </c>
      <c r="I9">
        <v>70</v>
      </c>
      <c r="J9" t="s">
        <v>617</v>
      </c>
      <c r="K9" s="23" t="s">
        <v>618</v>
      </c>
      <c r="L9" s="2" t="s">
        <v>161</v>
      </c>
      <c r="M9" t="s">
        <v>619</v>
      </c>
      <c r="N9">
        <v>70</v>
      </c>
      <c r="O9">
        <v>35</v>
      </c>
      <c r="P9">
        <v>35</v>
      </c>
    </row>
    <row r="10" spans="1:16">
      <c r="A10">
        <v>2250</v>
      </c>
      <c r="B10">
        <v>9</v>
      </c>
      <c r="C10" t="s">
        <v>620</v>
      </c>
      <c r="D10" t="s">
        <v>621</v>
      </c>
      <c r="E10">
        <v>6</v>
      </c>
      <c r="F10" t="s">
        <v>209</v>
      </c>
      <c r="G10">
        <v>40</v>
      </c>
      <c r="H10">
        <v>10</v>
      </c>
      <c r="I10">
        <v>80</v>
      </c>
      <c r="J10" t="s">
        <v>622</v>
      </c>
      <c r="K10" s="23" t="s">
        <v>623</v>
      </c>
      <c r="L10" s="2" t="s">
        <v>164</v>
      </c>
      <c r="M10" t="s">
        <v>624</v>
      </c>
      <c r="N10">
        <v>80</v>
      </c>
      <c r="O10">
        <v>40</v>
      </c>
      <c r="P10">
        <v>40</v>
      </c>
    </row>
    <row r="11" spans="1:16">
      <c r="A11">
        <v>2500</v>
      </c>
      <c r="B11">
        <v>10</v>
      </c>
      <c r="C11" t="s">
        <v>625</v>
      </c>
      <c r="D11" t="s">
        <v>626</v>
      </c>
      <c r="E11">
        <v>7</v>
      </c>
      <c r="F11" t="s">
        <v>215</v>
      </c>
      <c r="G11">
        <v>45</v>
      </c>
      <c r="H11">
        <v>30</v>
      </c>
      <c r="J11" t="s">
        <v>627</v>
      </c>
      <c r="K11" s="23" t="s">
        <v>628</v>
      </c>
      <c r="L11" s="2" t="s">
        <v>168</v>
      </c>
      <c r="M11" t="s">
        <v>629</v>
      </c>
      <c r="N11">
        <v>90</v>
      </c>
      <c r="O11">
        <v>45</v>
      </c>
      <c r="P11">
        <v>45</v>
      </c>
    </row>
    <row r="12" spans="1:16">
      <c r="A12">
        <v>2750</v>
      </c>
      <c r="B12">
        <v>11</v>
      </c>
      <c r="C12" t="s">
        <v>630</v>
      </c>
      <c r="D12" t="s">
        <v>631</v>
      </c>
      <c r="E12">
        <v>8</v>
      </c>
      <c r="F12" t="s">
        <v>223</v>
      </c>
      <c r="G12">
        <v>50</v>
      </c>
      <c r="H12">
        <v>60</v>
      </c>
      <c r="L12" s="2" t="s">
        <v>172</v>
      </c>
      <c r="M12" t="s">
        <v>632</v>
      </c>
      <c r="N12">
        <v>100</v>
      </c>
      <c r="O12">
        <v>50</v>
      </c>
      <c r="P12">
        <v>50</v>
      </c>
    </row>
    <row r="13" spans="1:16">
      <c r="A13">
        <v>3000</v>
      </c>
      <c r="B13">
        <v>12</v>
      </c>
      <c r="C13" t="s">
        <v>633</v>
      </c>
      <c r="D13" t="s">
        <v>634</v>
      </c>
      <c r="E13">
        <v>9</v>
      </c>
      <c r="F13" t="s">
        <v>310</v>
      </c>
      <c r="G13">
        <v>55</v>
      </c>
      <c r="L13" s="2" t="s">
        <v>278</v>
      </c>
      <c r="M13" t="s">
        <v>635</v>
      </c>
      <c r="N13">
        <v>110</v>
      </c>
      <c r="O13">
        <v>55</v>
      </c>
      <c r="P13">
        <v>55</v>
      </c>
    </row>
    <row r="14" spans="1:16">
      <c r="A14">
        <v>3250</v>
      </c>
      <c r="B14">
        <v>13</v>
      </c>
      <c r="C14" t="s">
        <v>636</v>
      </c>
      <c r="D14" t="s">
        <v>637</v>
      </c>
      <c r="E14">
        <v>10</v>
      </c>
      <c r="F14" t="s">
        <v>406</v>
      </c>
      <c r="G14">
        <v>60</v>
      </c>
      <c r="L14" s="2" t="s">
        <v>280</v>
      </c>
      <c r="M14" t="s">
        <v>638</v>
      </c>
      <c r="N14">
        <v>120</v>
      </c>
      <c r="O14">
        <v>60</v>
      </c>
      <c r="P14">
        <v>60</v>
      </c>
    </row>
    <row r="15" spans="1:16">
      <c r="A15">
        <v>3500</v>
      </c>
      <c r="B15">
        <v>14</v>
      </c>
      <c r="C15" t="s">
        <v>639</v>
      </c>
      <c r="D15" t="s">
        <v>640</v>
      </c>
      <c r="E15">
        <v>11</v>
      </c>
      <c r="F15" t="s">
        <v>641</v>
      </c>
      <c r="G15">
        <v>65</v>
      </c>
      <c r="L15" s="2" t="s">
        <v>176</v>
      </c>
      <c r="M15" t="s">
        <v>642</v>
      </c>
      <c r="N15">
        <v>130</v>
      </c>
      <c r="O15">
        <v>65</v>
      </c>
      <c r="P15">
        <v>65</v>
      </c>
    </row>
    <row r="16" spans="1:16">
      <c r="A16">
        <v>3750</v>
      </c>
      <c r="B16">
        <v>15</v>
      </c>
      <c r="C16" t="s">
        <v>643</v>
      </c>
      <c r="D16" t="s">
        <v>644</v>
      </c>
      <c r="E16">
        <v>12</v>
      </c>
      <c r="F16" t="s">
        <v>419</v>
      </c>
      <c r="G16">
        <v>70</v>
      </c>
      <c r="L16" s="2" t="s">
        <v>182</v>
      </c>
      <c r="M16" t="s">
        <v>645</v>
      </c>
      <c r="N16">
        <v>140</v>
      </c>
      <c r="O16">
        <v>70</v>
      </c>
      <c r="P16">
        <v>70</v>
      </c>
    </row>
    <row r="17" spans="1:16">
      <c r="A17">
        <v>4000</v>
      </c>
      <c r="C17" t="s">
        <v>646</v>
      </c>
      <c r="D17" t="s">
        <v>647</v>
      </c>
      <c r="E17">
        <v>13</v>
      </c>
      <c r="F17" t="s">
        <v>228</v>
      </c>
      <c r="G17">
        <v>75</v>
      </c>
      <c r="L17" s="2" t="s">
        <v>184</v>
      </c>
      <c r="M17" t="s">
        <v>648</v>
      </c>
      <c r="N17">
        <v>150</v>
      </c>
      <c r="O17">
        <v>75</v>
      </c>
      <c r="P17">
        <v>75</v>
      </c>
    </row>
    <row r="18" spans="1:16">
      <c r="A18">
        <v>4250</v>
      </c>
      <c r="C18" t="s">
        <v>649</v>
      </c>
      <c r="D18" t="s">
        <v>650</v>
      </c>
      <c r="E18">
        <v>14</v>
      </c>
      <c r="F18" t="s">
        <v>446</v>
      </c>
      <c r="G18">
        <v>80</v>
      </c>
      <c r="L18" s="2" t="s">
        <v>190</v>
      </c>
      <c r="M18" t="s">
        <v>651</v>
      </c>
      <c r="N18">
        <v>160</v>
      </c>
      <c r="O18">
        <v>80</v>
      </c>
    </row>
    <row r="19" spans="1:16">
      <c r="A19">
        <v>4500</v>
      </c>
      <c r="C19" t="s">
        <v>652</v>
      </c>
      <c r="D19" t="s">
        <v>592</v>
      </c>
      <c r="E19">
        <v>15</v>
      </c>
      <c r="F19" t="s">
        <v>536</v>
      </c>
      <c r="G19">
        <v>85</v>
      </c>
      <c r="L19" s="2" t="s">
        <v>193</v>
      </c>
      <c r="M19" t="s">
        <v>653</v>
      </c>
      <c r="N19">
        <v>170</v>
      </c>
      <c r="O19">
        <v>85</v>
      </c>
    </row>
    <row r="20" spans="1:16">
      <c r="A20">
        <v>4750</v>
      </c>
      <c r="E20">
        <v>16</v>
      </c>
      <c r="F20" t="s">
        <v>454</v>
      </c>
      <c r="L20" s="2" t="s">
        <v>287</v>
      </c>
      <c r="M20" t="s">
        <v>654</v>
      </c>
      <c r="N20">
        <v>180</v>
      </c>
      <c r="O20">
        <v>90</v>
      </c>
    </row>
    <row r="21" spans="1:16">
      <c r="A21">
        <v>5000</v>
      </c>
      <c r="E21">
        <v>17</v>
      </c>
      <c r="F21" t="s">
        <v>469</v>
      </c>
      <c r="L21" s="2" t="s">
        <v>196</v>
      </c>
      <c r="M21" t="s">
        <v>655</v>
      </c>
      <c r="N21">
        <v>190</v>
      </c>
      <c r="O21">
        <v>95</v>
      </c>
    </row>
    <row r="22" spans="1:16">
      <c r="A22">
        <v>5250</v>
      </c>
      <c r="E22">
        <v>18</v>
      </c>
      <c r="F22" t="s">
        <v>479</v>
      </c>
      <c r="L22" s="2" t="s">
        <v>200</v>
      </c>
      <c r="M22" t="s">
        <v>656</v>
      </c>
      <c r="N22">
        <v>200</v>
      </c>
      <c r="O22">
        <v>100</v>
      </c>
    </row>
    <row r="23" spans="1:16">
      <c r="A23">
        <v>5500</v>
      </c>
      <c r="E23">
        <v>19</v>
      </c>
      <c r="F23" t="s">
        <v>657</v>
      </c>
      <c r="L23" s="2" t="s">
        <v>203</v>
      </c>
      <c r="M23" t="s">
        <v>658</v>
      </c>
      <c r="N23">
        <v>210</v>
      </c>
      <c r="O23">
        <v>105</v>
      </c>
    </row>
    <row r="24" spans="1:16">
      <c r="A24">
        <v>5750</v>
      </c>
      <c r="E24">
        <v>20</v>
      </c>
      <c r="F24" t="s">
        <v>489</v>
      </c>
      <c r="L24" s="2" t="s">
        <v>205</v>
      </c>
      <c r="M24" t="s">
        <v>659</v>
      </c>
      <c r="N24">
        <v>220</v>
      </c>
      <c r="O24">
        <v>110</v>
      </c>
    </row>
    <row r="25" spans="1:16">
      <c r="A25">
        <v>6000</v>
      </c>
      <c r="E25">
        <v>21</v>
      </c>
      <c r="F25" t="s">
        <v>500</v>
      </c>
      <c r="L25" s="2" t="s">
        <v>207</v>
      </c>
      <c r="M25" t="s">
        <v>660</v>
      </c>
      <c r="N25">
        <v>230</v>
      </c>
      <c r="O25">
        <v>115</v>
      </c>
    </row>
    <row r="26" spans="1:16">
      <c r="A26">
        <v>6250</v>
      </c>
      <c r="E26">
        <v>22</v>
      </c>
      <c r="F26" t="s">
        <v>511</v>
      </c>
      <c r="L26" s="2" t="s">
        <v>209</v>
      </c>
      <c r="M26" t="s">
        <v>661</v>
      </c>
      <c r="N26">
        <v>240</v>
      </c>
      <c r="O26">
        <v>120</v>
      </c>
    </row>
    <row r="27" spans="1:16">
      <c r="A27">
        <v>6500</v>
      </c>
      <c r="E27">
        <v>23</v>
      </c>
      <c r="F27" t="s">
        <v>662</v>
      </c>
      <c r="L27" s="2" t="s">
        <v>211</v>
      </c>
      <c r="M27" t="s">
        <v>663</v>
      </c>
      <c r="N27">
        <v>250</v>
      </c>
      <c r="O27">
        <v>125</v>
      </c>
    </row>
    <row r="28" spans="1:16">
      <c r="A28">
        <v>6750</v>
      </c>
      <c r="E28">
        <v>24</v>
      </c>
      <c r="F28" t="s">
        <v>517</v>
      </c>
      <c r="L28" s="2" t="s">
        <v>213</v>
      </c>
      <c r="M28" t="s">
        <v>664</v>
      </c>
      <c r="N28">
        <v>260</v>
      </c>
      <c r="O28">
        <v>130</v>
      </c>
    </row>
    <row r="29" spans="1:16">
      <c r="A29">
        <v>7000</v>
      </c>
      <c r="E29">
        <v>25</v>
      </c>
      <c r="F29" t="s">
        <v>529</v>
      </c>
      <c r="L29" s="2" t="s">
        <v>297</v>
      </c>
      <c r="M29" t="s">
        <v>665</v>
      </c>
      <c r="N29">
        <v>270</v>
      </c>
      <c r="O29">
        <v>135</v>
      </c>
    </row>
    <row r="30" spans="1:16">
      <c r="A30">
        <v>7250</v>
      </c>
      <c r="E30">
        <v>26</v>
      </c>
      <c r="F30" t="s">
        <v>542</v>
      </c>
      <c r="L30" s="2" t="s">
        <v>215</v>
      </c>
      <c r="M30" t="s">
        <v>666</v>
      </c>
      <c r="N30">
        <v>280</v>
      </c>
      <c r="O30">
        <v>140</v>
      </c>
    </row>
    <row r="31" spans="1:16">
      <c r="A31">
        <v>7500</v>
      </c>
      <c r="E31">
        <v>27</v>
      </c>
      <c r="F31" t="s">
        <v>667</v>
      </c>
      <c r="L31" s="2" t="s">
        <v>217</v>
      </c>
      <c r="M31" t="s">
        <v>668</v>
      </c>
      <c r="N31">
        <v>290</v>
      </c>
      <c r="O31">
        <v>145</v>
      </c>
    </row>
    <row r="32" spans="1:16">
      <c r="A32">
        <v>7750</v>
      </c>
      <c r="E32">
        <v>28</v>
      </c>
      <c r="F32" t="s">
        <v>548</v>
      </c>
      <c r="L32" s="2" t="s">
        <v>219</v>
      </c>
      <c r="M32" t="s">
        <v>669</v>
      </c>
      <c r="N32">
        <v>300</v>
      </c>
      <c r="O32">
        <v>150</v>
      </c>
    </row>
    <row r="33" spans="1:15">
      <c r="A33">
        <v>8000</v>
      </c>
      <c r="E33">
        <v>29</v>
      </c>
      <c r="F33" t="s">
        <v>557</v>
      </c>
      <c r="L33" s="2" t="s">
        <v>221</v>
      </c>
      <c r="M33" t="s">
        <v>670</v>
      </c>
      <c r="N33">
        <v>310</v>
      </c>
      <c r="O33">
        <v>155</v>
      </c>
    </row>
    <row r="34" spans="1:15">
      <c r="A34">
        <v>8250</v>
      </c>
      <c r="E34">
        <v>30</v>
      </c>
      <c r="F34" t="s">
        <v>568</v>
      </c>
      <c r="L34" s="2" t="s">
        <v>223</v>
      </c>
      <c r="M34" t="s">
        <v>671</v>
      </c>
      <c r="N34">
        <v>320</v>
      </c>
      <c r="O34">
        <v>160</v>
      </c>
    </row>
    <row r="35" spans="1:15">
      <c r="A35">
        <v>8500</v>
      </c>
      <c r="E35">
        <v>31</v>
      </c>
      <c r="F35" t="s">
        <v>672</v>
      </c>
      <c r="L35" s="2" t="s">
        <v>304</v>
      </c>
      <c r="M35" t="s">
        <v>673</v>
      </c>
      <c r="N35">
        <v>330</v>
      </c>
      <c r="O35">
        <v>165</v>
      </c>
    </row>
    <row r="36" spans="1:15">
      <c r="A36">
        <v>8750</v>
      </c>
      <c r="E36">
        <v>32</v>
      </c>
      <c r="F36" t="s">
        <v>674</v>
      </c>
      <c r="L36" s="2" t="s">
        <v>306</v>
      </c>
      <c r="M36" t="s">
        <v>675</v>
      </c>
      <c r="N36">
        <v>340</v>
      </c>
      <c r="O36">
        <v>170</v>
      </c>
    </row>
    <row r="37" spans="1:15">
      <c r="A37">
        <v>9000</v>
      </c>
      <c r="E37">
        <v>33</v>
      </c>
      <c r="F37" t="s">
        <v>676</v>
      </c>
      <c r="L37" s="2" t="s">
        <v>308</v>
      </c>
      <c r="M37" t="s">
        <v>677</v>
      </c>
      <c r="N37">
        <v>350</v>
      </c>
      <c r="O37">
        <v>175</v>
      </c>
    </row>
    <row r="38" spans="1:15">
      <c r="A38">
        <v>9250</v>
      </c>
      <c r="E38">
        <v>34</v>
      </c>
      <c r="F38" t="s">
        <v>678</v>
      </c>
      <c r="N38">
        <v>360</v>
      </c>
      <c r="O38">
        <v>180</v>
      </c>
    </row>
    <row r="39" spans="1:15">
      <c r="A39">
        <v>9500</v>
      </c>
      <c r="E39">
        <v>35</v>
      </c>
      <c r="F39" t="s">
        <v>679</v>
      </c>
      <c r="N39">
        <v>370</v>
      </c>
      <c r="O39">
        <v>185</v>
      </c>
    </row>
    <row r="40" spans="1:15">
      <c r="A40">
        <v>9750</v>
      </c>
      <c r="E40">
        <v>36</v>
      </c>
      <c r="F40" t="s">
        <v>680</v>
      </c>
      <c r="N40">
        <v>380</v>
      </c>
      <c r="O40">
        <v>190</v>
      </c>
    </row>
    <row r="41" spans="1:15">
      <c r="A41">
        <v>10000</v>
      </c>
      <c r="E41">
        <v>37</v>
      </c>
      <c r="F41" t="s">
        <v>681</v>
      </c>
      <c r="N41">
        <v>390</v>
      </c>
      <c r="O41">
        <v>195</v>
      </c>
    </row>
    <row r="42" spans="1:15">
      <c r="A42">
        <v>10250</v>
      </c>
      <c r="E42">
        <v>38</v>
      </c>
      <c r="F42" t="s">
        <v>682</v>
      </c>
      <c r="N42">
        <v>400</v>
      </c>
      <c r="O42">
        <v>200</v>
      </c>
    </row>
    <row r="43" spans="1:15">
      <c r="A43">
        <v>10500</v>
      </c>
      <c r="E43">
        <v>39</v>
      </c>
      <c r="F43" t="s">
        <v>683</v>
      </c>
      <c r="N43">
        <v>410</v>
      </c>
      <c r="O43">
        <v>205</v>
      </c>
    </row>
    <row r="44" spans="1:15">
      <c r="A44">
        <v>10750</v>
      </c>
      <c r="E44">
        <v>40</v>
      </c>
      <c r="F44" t="s">
        <v>684</v>
      </c>
      <c r="N44">
        <v>420</v>
      </c>
      <c r="O44">
        <v>210</v>
      </c>
    </row>
    <row r="45" spans="1:15">
      <c r="A45">
        <v>11000</v>
      </c>
      <c r="E45">
        <v>41</v>
      </c>
      <c r="F45" t="s">
        <v>685</v>
      </c>
      <c r="N45">
        <v>430</v>
      </c>
      <c r="O45">
        <v>215</v>
      </c>
    </row>
    <row r="46" spans="1:15">
      <c r="A46">
        <v>11250</v>
      </c>
      <c r="E46">
        <v>42</v>
      </c>
      <c r="F46" t="s">
        <v>686</v>
      </c>
      <c r="N46">
        <v>440</v>
      </c>
      <c r="O46">
        <v>220</v>
      </c>
    </row>
    <row r="47" spans="1:15">
      <c r="A47">
        <v>11500</v>
      </c>
      <c r="E47">
        <v>43</v>
      </c>
      <c r="F47" t="s">
        <v>687</v>
      </c>
      <c r="N47">
        <v>450</v>
      </c>
      <c r="O47">
        <v>225</v>
      </c>
    </row>
    <row r="48" spans="1:15">
      <c r="A48">
        <v>11750</v>
      </c>
      <c r="E48">
        <v>44</v>
      </c>
      <c r="F48" t="s">
        <v>688</v>
      </c>
      <c r="N48">
        <v>460</v>
      </c>
      <c r="O48">
        <v>230</v>
      </c>
    </row>
    <row r="49" spans="1:15">
      <c r="A49">
        <v>12000</v>
      </c>
      <c r="E49">
        <v>45</v>
      </c>
      <c r="F49" t="s">
        <v>689</v>
      </c>
      <c r="N49">
        <v>470</v>
      </c>
      <c r="O49">
        <v>235</v>
      </c>
    </row>
    <row r="50" spans="1:15">
      <c r="A50">
        <v>12250</v>
      </c>
      <c r="E50">
        <v>46</v>
      </c>
      <c r="F50" t="s">
        <v>690</v>
      </c>
      <c r="N50">
        <v>480</v>
      </c>
      <c r="O50">
        <v>240</v>
      </c>
    </row>
    <row r="51" spans="1:15">
      <c r="A51">
        <v>12500</v>
      </c>
      <c r="E51">
        <v>47</v>
      </c>
      <c r="F51" t="s">
        <v>691</v>
      </c>
      <c r="N51">
        <v>490</v>
      </c>
      <c r="O51">
        <v>245</v>
      </c>
    </row>
    <row r="52" spans="1:15">
      <c r="A52">
        <v>12750</v>
      </c>
      <c r="E52">
        <v>48</v>
      </c>
      <c r="F52" t="s">
        <v>692</v>
      </c>
      <c r="N52">
        <v>500</v>
      </c>
      <c r="O52">
        <v>250</v>
      </c>
    </row>
    <row r="53" spans="1:15">
      <c r="A53">
        <v>13000</v>
      </c>
      <c r="E53">
        <v>49</v>
      </c>
      <c r="F53" t="s">
        <v>693</v>
      </c>
      <c r="N53">
        <v>510</v>
      </c>
      <c r="O53">
        <v>255</v>
      </c>
    </row>
    <row r="54" spans="1:15">
      <c r="A54">
        <v>13250</v>
      </c>
      <c r="E54">
        <v>50</v>
      </c>
      <c r="F54" t="s">
        <v>694</v>
      </c>
      <c r="N54">
        <v>520</v>
      </c>
      <c r="O54">
        <v>260</v>
      </c>
    </row>
    <row r="55" spans="1:15">
      <c r="A55">
        <v>13500</v>
      </c>
      <c r="E55">
        <v>51</v>
      </c>
      <c r="F55" t="s">
        <v>695</v>
      </c>
      <c r="N55">
        <v>530</v>
      </c>
      <c r="O55">
        <v>265</v>
      </c>
    </row>
    <row r="56" spans="1:15">
      <c r="A56">
        <v>13750</v>
      </c>
      <c r="E56">
        <v>52</v>
      </c>
      <c r="F56" t="s">
        <v>696</v>
      </c>
      <c r="N56">
        <v>540</v>
      </c>
      <c r="O56">
        <v>270</v>
      </c>
    </row>
    <row r="57" spans="1:15">
      <c r="A57">
        <v>14000</v>
      </c>
      <c r="E57">
        <v>53</v>
      </c>
      <c r="F57" t="s">
        <v>697</v>
      </c>
      <c r="N57">
        <v>550</v>
      </c>
      <c r="O57">
        <v>275</v>
      </c>
    </row>
    <row r="58" spans="1:15">
      <c r="A58">
        <v>14250</v>
      </c>
      <c r="E58">
        <v>54</v>
      </c>
      <c r="F58" t="s">
        <v>698</v>
      </c>
      <c r="N58">
        <v>560</v>
      </c>
      <c r="O58">
        <v>280</v>
      </c>
    </row>
    <row r="59" spans="1:15">
      <c r="A59">
        <v>14500</v>
      </c>
      <c r="E59">
        <v>55</v>
      </c>
      <c r="F59" t="s">
        <v>699</v>
      </c>
      <c r="N59">
        <v>570</v>
      </c>
      <c r="O59">
        <v>285</v>
      </c>
    </row>
    <row r="60" spans="1:15">
      <c r="A60">
        <v>14750</v>
      </c>
      <c r="E60">
        <v>56</v>
      </c>
      <c r="F60" t="s">
        <v>700</v>
      </c>
      <c r="N60">
        <v>580</v>
      </c>
      <c r="O60">
        <v>290</v>
      </c>
    </row>
    <row r="61" spans="1:15">
      <c r="A61">
        <v>15000</v>
      </c>
      <c r="E61">
        <v>57</v>
      </c>
      <c r="F61" t="s">
        <v>701</v>
      </c>
      <c r="N61">
        <v>590</v>
      </c>
      <c r="O61">
        <v>295</v>
      </c>
    </row>
    <row r="62" spans="1:15">
      <c r="E62">
        <v>58</v>
      </c>
      <c r="F62" t="s">
        <v>702</v>
      </c>
      <c r="N62">
        <v>600</v>
      </c>
      <c r="O62">
        <v>300</v>
      </c>
    </row>
    <row r="63" spans="1:15">
      <c r="E63">
        <v>59</v>
      </c>
      <c r="F63" t="s">
        <v>703</v>
      </c>
      <c r="N63">
        <v>610</v>
      </c>
      <c r="O63">
        <v>305</v>
      </c>
    </row>
    <row r="64" spans="1:15">
      <c r="E64">
        <v>60</v>
      </c>
      <c r="F64" t="s">
        <v>704</v>
      </c>
      <c r="N64">
        <v>620</v>
      </c>
      <c r="O64">
        <v>310</v>
      </c>
    </row>
    <row r="65" spans="5:15">
      <c r="E65">
        <v>61</v>
      </c>
      <c r="F65" t="s">
        <v>705</v>
      </c>
      <c r="N65">
        <v>630</v>
      </c>
      <c r="O65">
        <v>315</v>
      </c>
    </row>
    <row r="66" spans="5:15">
      <c r="E66">
        <v>62</v>
      </c>
      <c r="F66" t="s">
        <v>706</v>
      </c>
      <c r="N66">
        <v>640</v>
      </c>
      <c r="O66">
        <v>320</v>
      </c>
    </row>
    <row r="67" spans="5:15">
      <c r="E67">
        <v>63</v>
      </c>
      <c r="F67" t="s">
        <v>249</v>
      </c>
      <c r="N67">
        <v>650</v>
      </c>
      <c r="O67">
        <v>325</v>
      </c>
    </row>
    <row r="68" spans="5:15">
      <c r="N68">
        <v>660</v>
      </c>
      <c r="O68">
        <v>330</v>
      </c>
    </row>
    <row r="69" spans="5:15">
      <c r="N69">
        <v>670</v>
      </c>
      <c r="O69">
        <v>335</v>
      </c>
    </row>
    <row r="70" spans="5:15">
      <c r="N70">
        <v>680</v>
      </c>
      <c r="O70">
        <v>340</v>
      </c>
    </row>
    <row r="71" spans="5:15">
      <c r="N71">
        <v>690</v>
      </c>
      <c r="O71">
        <v>345</v>
      </c>
    </row>
    <row r="72" spans="5:15">
      <c r="N72">
        <v>700</v>
      </c>
      <c r="O72">
        <v>350</v>
      </c>
    </row>
    <row r="73" spans="5:15">
      <c r="N73">
        <v>710</v>
      </c>
      <c r="O73">
        <v>355</v>
      </c>
    </row>
    <row r="74" spans="5:15">
      <c r="N74">
        <v>720</v>
      </c>
      <c r="O74">
        <v>360</v>
      </c>
    </row>
    <row r="75" spans="5:15">
      <c r="N75">
        <v>730</v>
      </c>
      <c r="O75">
        <v>365</v>
      </c>
    </row>
    <row r="76" spans="5:15">
      <c r="N76">
        <v>740</v>
      </c>
      <c r="O76">
        <v>370</v>
      </c>
    </row>
    <row r="77" spans="5:15">
      <c r="N77">
        <v>750</v>
      </c>
      <c r="O77">
        <v>375</v>
      </c>
    </row>
    <row r="78" spans="5:15">
      <c r="N78">
        <v>760</v>
      </c>
      <c r="O78">
        <v>380</v>
      </c>
    </row>
    <row r="79" spans="5:15">
      <c r="N79">
        <v>770</v>
      </c>
      <c r="O79">
        <v>385</v>
      </c>
    </row>
    <row r="80" spans="5:15">
      <c r="N80">
        <v>780</v>
      </c>
      <c r="O80">
        <v>390</v>
      </c>
    </row>
    <row r="81" spans="14:15">
      <c r="N81">
        <v>790</v>
      </c>
      <c r="O81">
        <v>395</v>
      </c>
    </row>
    <row r="82" spans="14:15">
      <c r="N82">
        <v>800</v>
      </c>
      <c r="O82">
        <v>400</v>
      </c>
    </row>
    <row r="83" spans="14:15">
      <c r="N83">
        <v>810</v>
      </c>
      <c r="O83">
        <v>405</v>
      </c>
    </row>
    <row r="84" spans="14:15">
      <c r="N84">
        <v>820</v>
      </c>
      <c r="O84">
        <v>410</v>
      </c>
    </row>
    <row r="85" spans="14:15">
      <c r="N85">
        <v>830</v>
      </c>
      <c r="O85">
        <v>415</v>
      </c>
    </row>
    <row r="86" spans="14:15">
      <c r="N86">
        <v>840</v>
      </c>
      <c r="O86">
        <v>420</v>
      </c>
    </row>
    <row r="87" spans="14:15">
      <c r="N87">
        <v>850</v>
      </c>
      <c r="O87">
        <v>425</v>
      </c>
    </row>
    <row r="88" spans="14:15">
      <c r="N88">
        <v>860</v>
      </c>
      <c r="O88">
        <v>430</v>
      </c>
    </row>
    <row r="89" spans="14:15">
      <c r="N89">
        <v>870</v>
      </c>
      <c r="O89">
        <v>435</v>
      </c>
    </row>
    <row r="90" spans="14:15">
      <c r="N90">
        <v>880</v>
      </c>
      <c r="O90">
        <v>440</v>
      </c>
    </row>
    <row r="91" spans="14:15">
      <c r="N91">
        <v>890</v>
      </c>
      <c r="O91">
        <v>445</v>
      </c>
    </row>
    <row r="92" spans="14:15">
      <c r="N92">
        <v>900</v>
      </c>
      <c r="O92">
        <v>450</v>
      </c>
    </row>
    <row r="93" spans="14:15">
      <c r="N93">
        <v>910</v>
      </c>
      <c r="O93">
        <v>455</v>
      </c>
    </row>
    <row r="94" spans="14:15">
      <c r="N94">
        <v>920</v>
      </c>
      <c r="O94">
        <v>460</v>
      </c>
    </row>
    <row r="95" spans="14:15">
      <c r="N95">
        <v>930</v>
      </c>
      <c r="O95">
        <v>465</v>
      </c>
    </row>
    <row r="96" spans="14:15">
      <c r="N96">
        <v>940</v>
      </c>
      <c r="O96">
        <v>470</v>
      </c>
    </row>
    <row r="97" spans="14:15">
      <c r="N97">
        <v>950</v>
      </c>
      <c r="O97">
        <v>475</v>
      </c>
    </row>
    <row r="98" spans="14:15">
      <c r="N98">
        <v>960</v>
      </c>
      <c r="O98">
        <v>480</v>
      </c>
    </row>
    <row r="99" spans="14:15">
      <c r="N99">
        <v>970</v>
      </c>
      <c r="O99">
        <v>485</v>
      </c>
    </row>
    <row r="100" spans="14:15">
      <c r="N100">
        <v>980</v>
      </c>
      <c r="O100">
        <v>490</v>
      </c>
    </row>
    <row r="101" spans="14:15">
      <c r="N101">
        <v>990</v>
      </c>
      <c r="O101">
        <v>495</v>
      </c>
    </row>
    <row r="102" spans="14:15">
      <c r="N102">
        <v>1000</v>
      </c>
      <c r="O102">
        <v>500</v>
      </c>
    </row>
    <row r="103" spans="14:15">
      <c r="N103">
        <v>1010</v>
      </c>
      <c r="O103">
        <v>505</v>
      </c>
    </row>
    <row r="104" spans="14:15">
      <c r="N104">
        <v>1020</v>
      </c>
      <c r="O104">
        <v>510</v>
      </c>
    </row>
    <row r="105" spans="14:15">
      <c r="N105">
        <v>1030</v>
      </c>
      <c r="O105">
        <v>515</v>
      </c>
    </row>
    <row r="106" spans="14:15">
      <c r="N106">
        <v>1040</v>
      </c>
      <c r="O106">
        <v>520</v>
      </c>
    </row>
    <row r="107" spans="14:15">
      <c r="N107">
        <v>1050</v>
      </c>
      <c r="O107">
        <v>525</v>
      </c>
    </row>
    <row r="108" spans="14:15">
      <c r="N108">
        <v>1060</v>
      </c>
      <c r="O108">
        <v>530</v>
      </c>
    </row>
    <row r="109" spans="14:15">
      <c r="N109">
        <v>1070</v>
      </c>
      <c r="O109">
        <v>535</v>
      </c>
    </row>
    <row r="110" spans="14:15">
      <c r="N110">
        <v>1080</v>
      </c>
      <c r="O110">
        <v>540</v>
      </c>
    </row>
    <row r="111" spans="14:15">
      <c r="N111">
        <v>1090</v>
      </c>
      <c r="O111">
        <v>545</v>
      </c>
    </row>
    <row r="112" spans="14:15">
      <c r="N112">
        <v>1100</v>
      </c>
      <c r="O112">
        <v>550</v>
      </c>
    </row>
    <row r="113" spans="14:15">
      <c r="N113">
        <v>1110</v>
      </c>
      <c r="O113">
        <v>555</v>
      </c>
    </row>
    <row r="114" spans="14:15">
      <c r="N114">
        <v>1120</v>
      </c>
      <c r="O114">
        <v>560</v>
      </c>
    </row>
    <row r="115" spans="14:15">
      <c r="N115">
        <v>1130</v>
      </c>
      <c r="O115">
        <v>565</v>
      </c>
    </row>
    <row r="116" spans="14:15">
      <c r="N116">
        <v>1140</v>
      </c>
      <c r="O116">
        <v>570</v>
      </c>
    </row>
    <row r="117" spans="14:15">
      <c r="N117">
        <v>1150</v>
      </c>
      <c r="O117">
        <v>575</v>
      </c>
    </row>
    <row r="118" spans="14:15">
      <c r="N118">
        <v>1160</v>
      </c>
      <c r="O118">
        <v>580</v>
      </c>
    </row>
    <row r="119" spans="14:15">
      <c r="N119">
        <v>1170</v>
      </c>
      <c r="O119">
        <v>585</v>
      </c>
    </row>
    <row r="120" spans="14:15">
      <c r="N120">
        <v>1180</v>
      </c>
      <c r="O120">
        <v>590</v>
      </c>
    </row>
    <row r="121" spans="14:15">
      <c r="N121">
        <v>1190</v>
      </c>
      <c r="O121">
        <v>595</v>
      </c>
    </row>
    <row r="122" spans="14:15">
      <c r="N122">
        <v>1200</v>
      </c>
      <c r="O122">
        <v>600</v>
      </c>
    </row>
    <row r="123" spans="14:15">
      <c r="N123">
        <v>1210</v>
      </c>
      <c r="O123">
        <v>605</v>
      </c>
    </row>
    <row r="124" spans="14:15">
      <c r="N124">
        <v>1220</v>
      </c>
      <c r="O124">
        <v>610</v>
      </c>
    </row>
    <row r="125" spans="14:15">
      <c r="N125">
        <v>1230</v>
      </c>
      <c r="O125">
        <v>615</v>
      </c>
    </row>
    <row r="126" spans="14:15">
      <c r="N126">
        <v>1240</v>
      </c>
      <c r="O126">
        <v>620</v>
      </c>
    </row>
    <row r="127" spans="14:15">
      <c r="N127">
        <v>1250</v>
      </c>
      <c r="O127">
        <v>625</v>
      </c>
    </row>
    <row r="128" spans="14:15">
      <c r="N128">
        <v>1260</v>
      </c>
      <c r="O128">
        <v>630</v>
      </c>
    </row>
    <row r="129" spans="14:15">
      <c r="N129">
        <v>1270</v>
      </c>
      <c r="O129">
        <v>635</v>
      </c>
    </row>
    <row r="130" spans="14:15">
      <c r="N130">
        <v>1280</v>
      </c>
      <c r="O130">
        <v>640</v>
      </c>
    </row>
    <row r="131" spans="14:15">
      <c r="N131">
        <v>1290</v>
      </c>
      <c r="O131">
        <v>645</v>
      </c>
    </row>
    <row r="132" spans="14:15">
      <c r="N132">
        <v>1300</v>
      </c>
      <c r="O132">
        <v>650</v>
      </c>
    </row>
    <row r="133" spans="14:15">
      <c r="N133">
        <v>1310</v>
      </c>
      <c r="O133">
        <v>655</v>
      </c>
    </row>
    <row r="134" spans="14:15">
      <c r="N134">
        <v>1320</v>
      </c>
      <c r="O134">
        <v>660</v>
      </c>
    </row>
    <row r="135" spans="14:15">
      <c r="N135">
        <v>1330</v>
      </c>
      <c r="O135">
        <v>665</v>
      </c>
    </row>
    <row r="136" spans="14:15">
      <c r="N136">
        <v>1340</v>
      </c>
      <c r="O136">
        <v>670</v>
      </c>
    </row>
    <row r="137" spans="14:15">
      <c r="N137">
        <v>1350</v>
      </c>
      <c r="O137">
        <v>675</v>
      </c>
    </row>
    <row r="138" spans="14:15">
      <c r="N138">
        <v>1360</v>
      </c>
      <c r="O138">
        <v>680</v>
      </c>
    </row>
    <row r="139" spans="14:15">
      <c r="N139">
        <v>1370</v>
      </c>
      <c r="O139">
        <v>685</v>
      </c>
    </row>
    <row r="140" spans="14:15">
      <c r="N140">
        <v>1380</v>
      </c>
      <c r="O140">
        <v>690</v>
      </c>
    </row>
    <row r="141" spans="14:15">
      <c r="N141">
        <v>1390</v>
      </c>
      <c r="O141">
        <v>695</v>
      </c>
    </row>
    <row r="142" spans="14:15">
      <c r="N142">
        <v>1400</v>
      </c>
      <c r="O142">
        <v>700</v>
      </c>
    </row>
    <row r="143" spans="14:15">
      <c r="N143">
        <v>1410</v>
      </c>
      <c r="O143">
        <v>705</v>
      </c>
    </row>
    <row r="144" spans="14:15">
      <c r="N144">
        <v>1420</v>
      </c>
      <c r="O144">
        <v>710</v>
      </c>
    </row>
    <row r="145" spans="14:15">
      <c r="N145">
        <v>1430</v>
      </c>
      <c r="O145">
        <v>715</v>
      </c>
    </row>
    <row r="146" spans="14:15">
      <c r="N146">
        <v>1440</v>
      </c>
      <c r="O146">
        <v>720</v>
      </c>
    </row>
    <row r="147" spans="14:15">
      <c r="N147">
        <v>1450</v>
      </c>
      <c r="O147">
        <v>725</v>
      </c>
    </row>
    <row r="148" spans="14:15">
      <c r="N148">
        <v>1460</v>
      </c>
      <c r="O148">
        <v>730</v>
      </c>
    </row>
    <row r="149" spans="14:15">
      <c r="N149">
        <v>1470</v>
      </c>
      <c r="O149">
        <v>735</v>
      </c>
    </row>
    <row r="150" spans="14:15">
      <c r="N150">
        <v>1480</v>
      </c>
      <c r="O150">
        <v>740</v>
      </c>
    </row>
    <row r="151" spans="14:15">
      <c r="N151">
        <v>1490</v>
      </c>
      <c r="O151">
        <v>745</v>
      </c>
    </row>
    <row r="152" spans="14:15">
      <c r="N152">
        <v>1500</v>
      </c>
      <c r="O152">
        <v>750</v>
      </c>
    </row>
    <row r="153" spans="14:15">
      <c r="N153">
        <v>1510</v>
      </c>
      <c r="O153">
        <v>755</v>
      </c>
    </row>
    <row r="154" spans="14:15">
      <c r="N154">
        <v>1520</v>
      </c>
      <c r="O154">
        <v>760</v>
      </c>
    </row>
    <row r="155" spans="14:15">
      <c r="N155">
        <v>1530</v>
      </c>
      <c r="O155">
        <v>765</v>
      </c>
    </row>
    <row r="156" spans="14:15">
      <c r="N156">
        <v>1540</v>
      </c>
      <c r="O156">
        <v>770</v>
      </c>
    </row>
    <row r="157" spans="14:15">
      <c r="N157">
        <v>1550</v>
      </c>
      <c r="O157">
        <v>775</v>
      </c>
    </row>
    <row r="158" spans="14:15">
      <c r="N158">
        <v>1560</v>
      </c>
      <c r="O158">
        <v>780</v>
      </c>
    </row>
    <row r="159" spans="14:15">
      <c r="N159">
        <v>1570</v>
      </c>
      <c r="O159">
        <v>785</v>
      </c>
    </row>
    <row r="160" spans="14:15">
      <c r="N160">
        <v>1580</v>
      </c>
      <c r="O160">
        <v>790</v>
      </c>
    </row>
    <row r="161" spans="14:15">
      <c r="N161">
        <v>1590</v>
      </c>
      <c r="O161">
        <v>795</v>
      </c>
    </row>
    <row r="162" spans="14:15">
      <c r="N162">
        <v>1600</v>
      </c>
      <c r="O162">
        <v>800</v>
      </c>
    </row>
    <row r="163" spans="14:15">
      <c r="N163">
        <v>1610</v>
      </c>
      <c r="O163">
        <v>805</v>
      </c>
    </row>
    <row r="164" spans="14:15">
      <c r="N164">
        <v>1620</v>
      </c>
      <c r="O164">
        <v>810</v>
      </c>
    </row>
    <row r="165" spans="14:15">
      <c r="N165">
        <v>1630</v>
      </c>
      <c r="O165">
        <v>815</v>
      </c>
    </row>
    <row r="166" spans="14:15">
      <c r="N166">
        <v>1640</v>
      </c>
      <c r="O166">
        <v>820</v>
      </c>
    </row>
    <row r="167" spans="14:15">
      <c r="N167">
        <v>1650</v>
      </c>
      <c r="O167">
        <v>825</v>
      </c>
    </row>
    <row r="168" spans="14:15">
      <c r="N168">
        <v>1660</v>
      </c>
      <c r="O168">
        <v>830</v>
      </c>
    </row>
    <row r="169" spans="14:15">
      <c r="N169">
        <v>1670</v>
      </c>
      <c r="O169">
        <v>835</v>
      </c>
    </row>
    <row r="170" spans="14:15">
      <c r="N170">
        <v>1680</v>
      </c>
      <c r="O170">
        <v>840</v>
      </c>
    </row>
    <row r="171" spans="14:15">
      <c r="N171">
        <v>1690</v>
      </c>
      <c r="O171">
        <v>845</v>
      </c>
    </row>
    <row r="172" spans="14:15">
      <c r="N172">
        <v>1700</v>
      </c>
      <c r="O172">
        <v>850</v>
      </c>
    </row>
    <row r="173" spans="14:15">
      <c r="N173">
        <v>1710</v>
      </c>
      <c r="O173">
        <v>855</v>
      </c>
    </row>
    <row r="174" spans="14:15">
      <c r="N174">
        <v>1720</v>
      </c>
      <c r="O174">
        <v>860</v>
      </c>
    </row>
    <row r="175" spans="14:15">
      <c r="N175">
        <v>1730</v>
      </c>
      <c r="O175">
        <v>865</v>
      </c>
    </row>
    <row r="176" spans="14:15">
      <c r="N176">
        <v>1740</v>
      </c>
      <c r="O176">
        <v>870</v>
      </c>
    </row>
    <row r="177" spans="14:15">
      <c r="N177">
        <v>1750</v>
      </c>
      <c r="O177">
        <v>875</v>
      </c>
    </row>
    <row r="178" spans="14:15">
      <c r="N178">
        <v>1760</v>
      </c>
      <c r="O178">
        <v>880</v>
      </c>
    </row>
    <row r="179" spans="14:15">
      <c r="N179">
        <v>1770</v>
      </c>
      <c r="O179">
        <v>885</v>
      </c>
    </row>
    <row r="180" spans="14:15">
      <c r="N180">
        <v>1780</v>
      </c>
      <c r="O180">
        <v>890</v>
      </c>
    </row>
    <row r="181" spans="14:15">
      <c r="N181">
        <v>1790</v>
      </c>
      <c r="O181">
        <v>895</v>
      </c>
    </row>
    <row r="182" spans="14:15">
      <c r="N182">
        <v>1800</v>
      </c>
      <c r="O182">
        <v>900</v>
      </c>
    </row>
    <row r="183" spans="14:15">
      <c r="N183">
        <v>1810</v>
      </c>
      <c r="O183">
        <v>905</v>
      </c>
    </row>
    <row r="184" spans="14:15">
      <c r="N184">
        <v>1820</v>
      </c>
      <c r="O184">
        <v>910</v>
      </c>
    </row>
    <row r="185" spans="14:15">
      <c r="N185">
        <v>1830</v>
      </c>
      <c r="O185">
        <v>915</v>
      </c>
    </row>
    <row r="186" spans="14:15">
      <c r="N186">
        <v>1840</v>
      </c>
      <c r="O186">
        <v>920</v>
      </c>
    </row>
    <row r="187" spans="14:15">
      <c r="N187">
        <v>1850</v>
      </c>
      <c r="O187">
        <v>925</v>
      </c>
    </row>
    <row r="188" spans="14:15">
      <c r="N188">
        <v>1860</v>
      </c>
      <c r="O188">
        <v>930</v>
      </c>
    </row>
    <row r="189" spans="14:15">
      <c r="N189">
        <v>1870</v>
      </c>
      <c r="O189">
        <v>935</v>
      </c>
    </row>
    <row r="190" spans="14:15">
      <c r="N190">
        <v>1880</v>
      </c>
      <c r="O190">
        <v>940</v>
      </c>
    </row>
    <row r="191" spans="14:15">
      <c r="N191">
        <v>1890</v>
      </c>
      <c r="O191">
        <v>945</v>
      </c>
    </row>
    <row r="192" spans="14:15">
      <c r="N192">
        <v>1900</v>
      </c>
      <c r="O192">
        <v>950</v>
      </c>
    </row>
    <row r="193" spans="14:15">
      <c r="N193">
        <v>1910</v>
      </c>
      <c r="O193">
        <v>955</v>
      </c>
    </row>
    <row r="194" spans="14:15">
      <c r="N194">
        <v>1920</v>
      </c>
      <c r="O194">
        <v>960</v>
      </c>
    </row>
    <row r="195" spans="14:15">
      <c r="N195">
        <v>1930</v>
      </c>
      <c r="O195">
        <v>965</v>
      </c>
    </row>
    <row r="196" spans="14:15">
      <c r="N196">
        <v>1940</v>
      </c>
      <c r="O196">
        <v>970</v>
      </c>
    </row>
    <row r="197" spans="14:15">
      <c r="N197">
        <v>1950</v>
      </c>
      <c r="O197">
        <v>975</v>
      </c>
    </row>
    <row r="198" spans="14:15">
      <c r="N198">
        <v>1960</v>
      </c>
      <c r="O198">
        <v>980</v>
      </c>
    </row>
    <row r="199" spans="14:15">
      <c r="N199">
        <v>1970</v>
      </c>
      <c r="O199">
        <v>985</v>
      </c>
    </row>
    <row r="200" spans="14:15">
      <c r="N200">
        <v>1980</v>
      </c>
      <c r="O200">
        <v>990</v>
      </c>
    </row>
    <row r="201" spans="14:15">
      <c r="N201">
        <v>1990</v>
      </c>
      <c r="O201">
        <v>995</v>
      </c>
    </row>
    <row r="202" spans="14:15">
      <c r="N202">
        <v>2000</v>
      </c>
      <c r="O202">
        <v>1000</v>
      </c>
    </row>
    <row r="203" spans="14:15">
      <c r="N203">
        <v>2010</v>
      </c>
      <c r="O203">
        <v>1005</v>
      </c>
    </row>
    <row r="204" spans="14:15">
      <c r="N204">
        <v>2020</v>
      </c>
      <c r="O204">
        <v>1010</v>
      </c>
    </row>
    <row r="205" spans="14:15">
      <c r="N205">
        <v>2030</v>
      </c>
      <c r="O205">
        <v>1015</v>
      </c>
    </row>
    <row r="206" spans="14:15">
      <c r="N206">
        <v>2040</v>
      </c>
      <c r="O206">
        <v>1020</v>
      </c>
    </row>
    <row r="207" spans="14:15">
      <c r="N207">
        <v>2050</v>
      </c>
      <c r="O207">
        <v>1025</v>
      </c>
    </row>
    <row r="208" spans="14:15">
      <c r="N208">
        <v>2060</v>
      </c>
      <c r="O208">
        <v>1030</v>
      </c>
    </row>
    <row r="209" spans="14:15">
      <c r="N209">
        <v>2070</v>
      </c>
      <c r="O209">
        <v>1035</v>
      </c>
    </row>
    <row r="210" spans="14:15">
      <c r="N210">
        <v>2080</v>
      </c>
      <c r="O210">
        <v>1040</v>
      </c>
    </row>
    <row r="211" spans="14:15">
      <c r="N211">
        <v>2090</v>
      </c>
      <c r="O211">
        <v>1045</v>
      </c>
    </row>
    <row r="212" spans="14:15">
      <c r="N212">
        <v>2100</v>
      </c>
      <c r="O212">
        <v>1050</v>
      </c>
    </row>
    <row r="213" spans="14:15">
      <c r="N213">
        <v>2110</v>
      </c>
      <c r="O213">
        <v>1055</v>
      </c>
    </row>
    <row r="214" spans="14:15">
      <c r="N214">
        <v>2120</v>
      </c>
      <c r="O214">
        <v>1060</v>
      </c>
    </row>
    <row r="215" spans="14:15">
      <c r="N215">
        <v>2130</v>
      </c>
      <c r="O215">
        <v>1065</v>
      </c>
    </row>
    <row r="216" spans="14:15">
      <c r="N216">
        <v>2140</v>
      </c>
      <c r="O216">
        <v>1070</v>
      </c>
    </row>
    <row r="217" spans="14:15">
      <c r="N217">
        <v>2150</v>
      </c>
      <c r="O217">
        <v>1075</v>
      </c>
    </row>
    <row r="218" spans="14:15">
      <c r="N218">
        <v>2160</v>
      </c>
      <c r="O218">
        <v>1080</v>
      </c>
    </row>
    <row r="219" spans="14:15">
      <c r="N219">
        <v>2170</v>
      </c>
      <c r="O219">
        <v>1085</v>
      </c>
    </row>
    <row r="220" spans="14:15">
      <c r="N220">
        <v>2180</v>
      </c>
      <c r="O220">
        <v>1090</v>
      </c>
    </row>
    <row r="221" spans="14:15">
      <c r="N221">
        <v>2190</v>
      </c>
      <c r="O221">
        <v>1095</v>
      </c>
    </row>
    <row r="222" spans="14:15">
      <c r="N222">
        <v>2200</v>
      </c>
      <c r="O222">
        <v>1100</v>
      </c>
    </row>
    <row r="223" spans="14:15">
      <c r="N223">
        <v>2210</v>
      </c>
      <c r="O223">
        <v>1105</v>
      </c>
    </row>
    <row r="224" spans="14:15">
      <c r="N224">
        <v>2220</v>
      </c>
      <c r="O224">
        <v>1110</v>
      </c>
    </row>
    <row r="225" spans="14:15">
      <c r="N225">
        <v>2230</v>
      </c>
      <c r="O225">
        <v>1115</v>
      </c>
    </row>
    <row r="226" spans="14:15">
      <c r="N226">
        <v>2240</v>
      </c>
      <c r="O226">
        <v>1120</v>
      </c>
    </row>
    <row r="227" spans="14:15">
      <c r="N227">
        <v>2250</v>
      </c>
      <c r="O227">
        <v>1125</v>
      </c>
    </row>
    <row r="228" spans="14:15">
      <c r="N228">
        <v>2260</v>
      </c>
      <c r="O228">
        <v>1130</v>
      </c>
    </row>
    <row r="229" spans="14:15">
      <c r="N229">
        <v>2270</v>
      </c>
      <c r="O229">
        <v>1135</v>
      </c>
    </row>
    <row r="230" spans="14:15">
      <c r="N230">
        <v>2280</v>
      </c>
      <c r="O230">
        <v>1140</v>
      </c>
    </row>
    <row r="231" spans="14:15">
      <c r="N231">
        <v>2290</v>
      </c>
      <c r="O231">
        <v>1145</v>
      </c>
    </row>
    <row r="232" spans="14:15">
      <c r="N232">
        <v>2300</v>
      </c>
      <c r="O232">
        <v>1150</v>
      </c>
    </row>
    <row r="233" spans="14:15">
      <c r="N233">
        <v>2310</v>
      </c>
      <c r="O233">
        <v>1155</v>
      </c>
    </row>
    <row r="234" spans="14:15">
      <c r="N234">
        <v>2320</v>
      </c>
      <c r="O234">
        <v>1160</v>
      </c>
    </row>
    <row r="235" spans="14:15">
      <c r="N235">
        <v>2330</v>
      </c>
      <c r="O235">
        <v>1165</v>
      </c>
    </row>
    <row r="236" spans="14:15">
      <c r="N236">
        <v>2340</v>
      </c>
      <c r="O236">
        <v>1170</v>
      </c>
    </row>
    <row r="237" spans="14:15">
      <c r="N237">
        <v>2350</v>
      </c>
      <c r="O237">
        <v>1175</v>
      </c>
    </row>
    <row r="238" spans="14:15">
      <c r="N238">
        <v>2360</v>
      </c>
      <c r="O238">
        <v>1180</v>
      </c>
    </row>
    <row r="239" spans="14:15">
      <c r="N239">
        <v>2370</v>
      </c>
      <c r="O239">
        <v>1185</v>
      </c>
    </row>
    <row r="240" spans="14:15">
      <c r="N240">
        <v>2380</v>
      </c>
      <c r="O240">
        <v>1190</v>
      </c>
    </row>
    <row r="241" spans="14:15">
      <c r="N241">
        <v>2390</v>
      </c>
      <c r="O241">
        <v>1195</v>
      </c>
    </row>
    <row r="242" spans="14:15">
      <c r="N242">
        <v>2400</v>
      </c>
      <c r="O242">
        <v>1200</v>
      </c>
    </row>
    <row r="243" spans="14:15">
      <c r="N243">
        <v>2410</v>
      </c>
      <c r="O243">
        <v>1205</v>
      </c>
    </row>
    <row r="244" spans="14:15">
      <c r="N244">
        <v>2420</v>
      </c>
      <c r="O244">
        <v>1210</v>
      </c>
    </row>
    <row r="245" spans="14:15">
      <c r="N245">
        <v>2430</v>
      </c>
      <c r="O245">
        <v>1215</v>
      </c>
    </row>
    <row r="246" spans="14:15">
      <c r="N246">
        <v>2440</v>
      </c>
      <c r="O246">
        <v>1220</v>
      </c>
    </row>
    <row r="247" spans="14:15">
      <c r="N247">
        <v>2450</v>
      </c>
      <c r="O247">
        <v>1225</v>
      </c>
    </row>
    <row r="248" spans="14:15">
      <c r="N248">
        <v>2460</v>
      </c>
      <c r="O248">
        <v>1230</v>
      </c>
    </row>
    <row r="249" spans="14:15">
      <c r="N249">
        <v>2470</v>
      </c>
      <c r="O249">
        <v>1235</v>
      </c>
    </row>
    <row r="250" spans="14:15">
      <c r="N250">
        <v>2480</v>
      </c>
      <c r="O250">
        <v>1240</v>
      </c>
    </row>
    <row r="251" spans="14:15">
      <c r="N251">
        <v>2490</v>
      </c>
      <c r="O251">
        <v>1245</v>
      </c>
    </row>
    <row r="252" spans="14:15">
      <c r="N252">
        <v>2500</v>
      </c>
      <c r="O252">
        <v>1250</v>
      </c>
    </row>
    <row r="253" spans="14:15">
      <c r="N253">
        <v>2510</v>
      </c>
      <c r="O253">
        <v>1255</v>
      </c>
    </row>
    <row r="254" spans="14:15">
      <c r="N254">
        <v>2520</v>
      </c>
      <c r="O254">
        <v>1260</v>
      </c>
    </row>
    <row r="255" spans="14:15">
      <c r="N255">
        <v>2530</v>
      </c>
      <c r="O255">
        <v>1265</v>
      </c>
    </row>
    <row r="256" spans="14:15">
      <c r="N256">
        <v>2540</v>
      </c>
      <c r="O256">
        <v>1270</v>
      </c>
    </row>
    <row r="257" spans="14:15">
      <c r="N257">
        <v>2550</v>
      </c>
      <c r="O257">
        <v>1275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2629-EE45-4AD7-9220-3E9BF1E5883F}">
  <dimension ref="A1:M91"/>
  <sheetViews>
    <sheetView zoomScaleNormal="100" workbookViewId="0">
      <pane ySplit="1" topLeftCell="A2" activePane="bottomLeft" state="frozen"/>
      <selection pane="bottomLeft" activeCell="C92" sqref="C92"/>
    </sheetView>
  </sheetViews>
  <sheetFormatPr defaultColWidth="23.42578125" defaultRowHeight="15"/>
  <cols>
    <col min="1" max="1" width="8.42578125" style="57" bestFit="1" customWidth="1"/>
    <col min="2" max="2" width="26.5703125" style="34" bestFit="1" customWidth="1"/>
    <col min="3" max="3" width="23.28515625" style="39" bestFit="1" customWidth="1"/>
    <col min="4" max="10" width="13.42578125" style="34" customWidth="1"/>
    <col min="11" max="11" width="15.140625" style="34" customWidth="1"/>
    <col min="12" max="12" width="17.28515625" style="34" customWidth="1"/>
    <col min="13" max="13" width="17.85546875" style="34" bestFit="1" customWidth="1"/>
    <col min="14" max="14" width="5.42578125" style="34" bestFit="1" customWidth="1"/>
    <col min="15" max="15" width="5" style="34" bestFit="1" customWidth="1"/>
    <col min="16" max="16" width="7.140625" style="34" bestFit="1" customWidth="1"/>
    <col min="17" max="17" width="5.28515625" style="34" bestFit="1" customWidth="1"/>
    <col min="18" max="21" width="5" style="34" bestFit="1" customWidth="1"/>
    <col min="22" max="22" width="18.28515625" style="34" bestFit="1" customWidth="1"/>
    <col min="23" max="16384" width="23.42578125" style="34"/>
  </cols>
  <sheetData>
    <row r="1" spans="1:13" s="25" customFormat="1">
      <c r="A1" s="56" t="s">
        <v>0</v>
      </c>
      <c r="B1" s="42" t="s">
        <v>313</v>
      </c>
      <c r="C1" s="38" t="s">
        <v>2</v>
      </c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s="25" customFormat="1" ht="39">
      <c r="A2" s="56" t="s">
        <v>707</v>
      </c>
      <c r="B2" s="44" t="s">
        <v>317</v>
      </c>
      <c r="C2" s="26" t="s">
        <v>708</v>
      </c>
      <c r="D2" s="26" t="s">
        <v>318</v>
      </c>
      <c r="E2" s="26" t="s">
        <v>319</v>
      </c>
      <c r="F2" s="26" t="s">
        <v>320</v>
      </c>
      <c r="G2" s="26" t="s">
        <v>321</v>
      </c>
      <c r="H2" s="26" t="s">
        <v>709</v>
      </c>
      <c r="I2" s="26" t="s">
        <v>710</v>
      </c>
      <c r="J2" s="51"/>
      <c r="K2" s="51"/>
      <c r="L2" s="51"/>
      <c r="M2" s="51"/>
    </row>
    <row r="3" spans="1:13" s="25" customFormat="1">
      <c r="A3" s="56" t="s">
        <v>711</v>
      </c>
      <c r="B3" s="45" t="s">
        <v>317</v>
      </c>
      <c r="C3" s="41" t="s">
        <v>712</v>
      </c>
      <c r="D3" s="29" t="str">
        <f>IF(MID($C3,3,2)="00","Threshold","Report on Change")</f>
        <v>Threshold</v>
      </c>
      <c r="E3" s="29" t="str">
        <f>IF((HEX2DEC(MID($C3,5,1))&gt;7),"Minutes","Hours")</f>
        <v>Minutes</v>
      </c>
      <c r="F3" s="29">
        <f>IF(E3="Minutes",HEX2DEC(MID($C3,5,2))-128,HEX2DEC(MID($C3,5,2)))</f>
        <v>10</v>
      </c>
      <c r="G3" s="29">
        <f>HEX2DEC(MID($C3,7,2))/100</f>
        <v>0.1</v>
      </c>
      <c r="H3" s="29">
        <f>HEX2DEC(MID($C3,9,4))/100</f>
        <v>0.23</v>
      </c>
      <c r="I3" s="29">
        <f>HEX2DEC(MID($C3,13,4))/100</f>
        <v>251</v>
      </c>
      <c r="J3" s="51"/>
      <c r="K3" s="51"/>
      <c r="L3" s="51"/>
      <c r="M3" s="51"/>
    </row>
    <row r="4" spans="1:13" s="25" customFormat="1" ht="39">
      <c r="A4" s="56" t="s">
        <v>713</v>
      </c>
      <c r="B4" s="44" t="s">
        <v>3</v>
      </c>
      <c r="C4" s="26" t="s">
        <v>714</v>
      </c>
      <c r="D4" s="26" t="s">
        <v>329</v>
      </c>
      <c r="E4" s="26" t="s">
        <v>330</v>
      </c>
      <c r="F4" s="26" t="s">
        <v>331</v>
      </c>
      <c r="G4" s="26" t="s">
        <v>332</v>
      </c>
      <c r="H4" s="26" t="s">
        <v>333</v>
      </c>
      <c r="I4" s="51"/>
      <c r="J4" s="51"/>
      <c r="K4" s="51"/>
      <c r="L4" s="51"/>
      <c r="M4" s="51"/>
    </row>
    <row r="5" spans="1:13" s="25" customFormat="1">
      <c r="A5" s="56" t="s">
        <v>715</v>
      </c>
      <c r="B5" s="45" t="s">
        <v>3</v>
      </c>
      <c r="C5" s="41" t="s">
        <v>716</v>
      </c>
      <c r="D5" s="29">
        <f>HEX2DEC(MID($C5,3,2))</f>
        <v>2</v>
      </c>
      <c r="E5" s="40">
        <f>HEX2DEC(MID($C5,5,2))/4</f>
        <v>0.5</v>
      </c>
      <c r="F5" s="32" t="str">
        <f>"+/-"&amp;2^(HEX2DEC(MID($C5,7,2)+1))&amp;"g"</f>
        <v>+/-2g</v>
      </c>
      <c r="G5" s="32" t="str">
        <f>IF(ISODD(HEX2DEC(MID($C5,9,2)))=TRUE,"No","Yes")</f>
        <v>Yes</v>
      </c>
      <c r="H5" s="32" t="str">
        <f>IF((HEX2DEC(MID($C5,9,2)))&gt;1,"No","Yes")</f>
        <v>Yes</v>
      </c>
      <c r="I5" s="51"/>
      <c r="J5" s="51"/>
      <c r="K5" s="51"/>
      <c r="L5" s="51"/>
      <c r="M5" s="51"/>
    </row>
    <row r="6" spans="1:13" s="25" customFormat="1" ht="39">
      <c r="A6" s="56" t="s">
        <v>717</v>
      </c>
      <c r="B6" s="44" t="s">
        <v>338</v>
      </c>
      <c r="C6" s="26" t="s">
        <v>718</v>
      </c>
      <c r="D6" s="26" t="s">
        <v>339</v>
      </c>
      <c r="E6" s="26" t="s">
        <v>340</v>
      </c>
      <c r="F6" s="26" t="s">
        <v>341</v>
      </c>
      <c r="G6" s="26" t="s">
        <v>342</v>
      </c>
      <c r="H6" s="51"/>
      <c r="I6" s="51"/>
      <c r="J6" s="51"/>
      <c r="K6" s="51"/>
      <c r="L6" s="51"/>
      <c r="M6" s="51"/>
    </row>
    <row r="7" spans="1:13" s="25" customFormat="1">
      <c r="A7" s="56" t="s">
        <v>717</v>
      </c>
      <c r="B7" s="45" t="s">
        <v>338</v>
      </c>
      <c r="C7" s="41" t="s">
        <v>719</v>
      </c>
      <c r="D7" s="29">
        <f>HEX2DEC(MID($C7,3,2))</f>
        <v>10</v>
      </c>
      <c r="E7" s="29">
        <f>HEX2DEC(MID($C7,5,2))</f>
        <v>5</v>
      </c>
      <c r="F7" s="29">
        <f>HEX2DEC(MID($C7,7,2))</f>
        <v>4</v>
      </c>
      <c r="G7" s="29">
        <f>HEX2DEC(MID($C7,9,2))</f>
        <v>3</v>
      </c>
      <c r="H7" s="51"/>
      <c r="I7" s="51"/>
      <c r="J7" s="51"/>
      <c r="K7" s="51"/>
      <c r="L7" s="51"/>
      <c r="M7" s="51"/>
    </row>
    <row r="8" spans="1:13" s="28" customFormat="1" ht="39">
      <c r="A8" s="56" t="s">
        <v>720</v>
      </c>
      <c r="B8" s="44" t="s">
        <v>347</v>
      </c>
      <c r="C8" s="26" t="s">
        <v>721</v>
      </c>
      <c r="D8" s="26" t="s">
        <v>348</v>
      </c>
      <c r="E8" s="26" t="s">
        <v>349</v>
      </c>
      <c r="F8" s="26" t="s">
        <v>350</v>
      </c>
      <c r="G8" s="26" t="s">
        <v>351</v>
      </c>
      <c r="H8" s="51"/>
      <c r="I8" s="51"/>
      <c r="J8" s="51"/>
      <c r="K8" s="51"/>
      <c r="L8" s="51"/>
      <c r="M8" s="51"/>
    </row>
    <row r="9" spans="1:13" s="25" customFormat="1">
      <c r="A9" s="56" t="s">
        <v>722</v>
      </c>
      <c r="B9" s="45" t="s">
        <v>347</v>
      </c>
      <c r="C9" t="s">
        <v>723</v>
      </c>
      <c r="D9" s="29">
        <f>HEX2DEC(MID($C9,3,2))</f>
        <v>0</v>
      </c>
      <c r="E9" s="29">
        <f>HEX2DEC(MID($C9,3,2))</f>
        <v>0</v>
      </c>
      <c r="F9" s="29" t="str">
        <f>IF((HEX2DEC(MID($C9,7,1))&gt;7),"Minutes","Hours")</f>
        <v>Minutes</v>
      </c>
      <c r="G9" s="29">
        <f>IF(F9="Minutes",HEX2DEC(MID(C9,7,2))-128,HEX2DEC(MID(C9,7,2)))</f>
        <v>1</v>
      </c>
      <c r="H9" s="51"/>
      <c r="I9" s="51"/>
      <c r="J9" s="51"/>
      <c r="K9" s="51"/>
      <c r="L9" s="51"/>
      <c r="M9" s="51"/>
    </row>
    <row r="10" spans="1:13" s="25" customFormat="1" ht="39">
      <c r="A10" s="56" t="s">
        <v>724</v>
      </c>
      <c r="B10" s="44" t="s">
        <v>725</v>
      </c>
      <c r="C10" s="26" t="s">
        <v>726</v>
      </c>
      <c r="D10" s="26" t="s">
        <v>426</v>
      </c>
      <c r="E10" s="26" t="s">
        <v>427</v>
      </c>
      <c r="F10" s="26" t="s">
        <v>428</v>
      </c>
      <c r="G10" s="26" t="s">
        <v>727</v>
      </c>
      <c r="H10" s="26" t="s">
        <v>430</v>
      </c>
      <c r="I10" s="26" t="s">
        <v>728</v>
      </c>
      <c r="J10" s="26" t="s">
        <v>432</v>
      </c>
      <c r="K10" s="26" t="s">
        <v>729</v>
      </c>
      <c r="L10" s="26" t="s">
        <v>434</v>
      </c>
      <c r="M10" s="51"/>
    </row>
    <row r="11" spans="1:13" s="25" customFormat="1">
      <c r="A11" s="56" t="s">
        <v>730</v>
      </c>
      <c r="B11" s="45" t="s">
        <v>725</v>
      </c>
      <c r="C11" s="41" t="s">
        <v>731</v>
      </c>
      <c r="D11" s="29" t="str">
        <f>IF(MID(HEX2BIN(MID($C11,4,1),8),6,1)="1","Update","Unchanged")</f>
        <v>Unchanged</v>
      </c>
      <c r="E11" s="29" t="str">
        <f>IF(MID(HEX2BIN(MID($C11,4,1),8),7,1)="1","Update","Unchanged")</f>
        <v>Update</v>
      </c>
      <c r="F11" s="29" t="str">
        <f>IF(MID(HEX2BIN(MID($C11,4,1),8),8,1)="1","Update","Unchanged")</f>
        <v>Unchanged</v>
      </c>
      <c r="G11" s="29" t="str">
        <f>IF(LEFT(HEX2BIN(MID($C11,5,1),4),1)="1","Minutes","Hours")</f>
        <v>Minutes</v>
      </c>
      <c r="H11" s="29">
        <f>IF(RIGHT(HEX2BIN(MID($C11,5,2),8),7)="0000000","Disabled",BIN2DEC(RIGHT(HEX2BIN(MID($C11,5,2),8),7)))</f>
        <v>1</v>
      </c>
      <c r="I11" s="29" t="str">
        <f>IF(LEFT(HEX2BIN(MID($C11,7,1),4),1)="1","Minutes","Hours")</f>
        <v>Hours</v>
      </c>
      <c r="J11" s="29">
        <f>IF(RIGHT(HEX2BIN(MID($C11,7,2),8),7)="0000000","Disabled",BIN2DEC(RIGHT(HEX2BIN(MID($C11,7,2),8),7)))</f>
        <v>5</v>
      </c>
      <c r="K11" s="29" t="str">
        <f>IF(LEFT(HEX2BIN(MID($C11,9,1),4),1)="1","Minutes","Hours")</f>
        <v>Minutes</v>
      </c>
      <c r="L11" s="29">
        <f>IF(RIGHT(HEX2BIN(MID($C11,9,2),8),7)="0000000","Disabled",BIN2DEC(RIGHT(HEX2BIN(MID($C11,9,2),8),7)))</f>
        <v>42</v>
      </c>
      <c r="M11" s="51"/>
    </row>
    <row r="12" spans="1:13" s="25" customFormat="1" ht="26.25">
      <c r="A12" s="56" t="s">
        <v>732</v>
      </c>
      <c r="B12" s="44" t="s">
        <v>733</v>
      </c>
      <c r="C12" s="26" t="s">
        <v>734</v>
      </c>
      <c r="D12" s="26" t="s">
        <v>349</v>
      </c>
      <c r="E12" s="26" t="s">
        <v>735</v>
      </c>
      <c r="F12" s="26" t="s">
        <v>736</v>
      </c>
      <c r="G12" s="26" t="s">
        <v>737</v>
      </c>
      <c r="H12" s="26" t="s">
        <v>441</v>
      </c>
      <c r="I12" s="26" t="s">
        <v>442</v>
      </c>
      <c r="J12" s="26" t="s">
        <v>443</v>
      </c>
      <c r="K12" s="26" t="s">
        <v>444</v>
      </c>
      <c r="L12" s="51"/>
      <c r="M12" s="51"/>
    </row>
    <row r="13" spans="1:13" s="25" customFormat="1" ht="26.25">
      <c r="A13" s="56" t="s">
        <v>738</v>
      </c>
      <c r="B13" s="45" t="s">
        <v>733</v>
      </c>
      <c r="C13" s="41" t="s">
        <v>739</v>
      </c>
      <c r="D13" s="29">
        <f>HEX2DEC(MID($C13,3,2))</f>
        <v>10</v>
      </c>
      <c r="E13" s="29" t="str">
        <f>IF(LEFT(HEX2BIN(MID($C13,5,1),4),1)="1","Minutes","Hours")</f>
        <v>Minutes</v>
      </c>
      <c r="F13" s="29">
        <f>IF(RIGHT(HEX2BIN(MID($C13,5,2),8),7)="0000000","Disabled",BIN2DEC(RIGHT(HEX2BIN(MID($C13,5,2),8),7)))</f>
        <v>1</v>
      </c>
      <c r="G13" s="29">
        <f>HEX2DEC(MID($C13,7,2))</f>
        <v>255</v>
      </c>
      <c r="H13" s="29">
        <f>HEX2DEC(MID($C13,9,2))</f>
        <v>1</v>
      </c>
      <c r="I13" s="29">
        <f>HEX2DEC(MID($C13,11,2))</f>
        <v>10</v>
      </c>
      <c r="J13" s="29">
        <f>HEX2DEC(MID($C13,13,2))</f>
        <v>5</v>
      </c>
      <c r="K13" s="29">
        <f>HEX2DEC(MID($C13,15,2))</f>
        <v>129</v>
      </c>
      <c r="L13" s="51"/>
      <c r="M13" s="51"/>
    </row>
    <row r="14" spans="1:13" s="25" customFormat="1" ht="26.25">
      <c r="A14" s="56" t="s">
        <v>740</v>
      </c>
      <c r="B14" s="44" t="s">
        <v>448</v>
      </c>
      <c r="C14" s="26" t="s">
        <v>741</v>
      </c>
      <c r="D14" s="26" t="s">
        <v>742</v>
      </c>
      <c r="E14" s="26" t="s">
        <v>743</v>
      </c>
      <c r="F14" s="26" t="s">
        <v>744</v>
      </c>
      <c r="G14" s="26" t="s">
        <v>745</v>
      </c>
      <c r="H14" s="26" t="s">
        <v>746</v>
      </c>
      <c r="I14" s="51"/>
      <c r="J14" s="51"/>
      <c r="K14" s="51"/>
      <c r="L14" s="51"/>
      <c r="M14" s="51"/>
    </row>
    <row r="15" spans="1:13" s="25" customFormat="1" ht="26.25">
      <c r="A15" s="56" t="s">
        <v>747</v>
      </c>
      <c r="B15" s="45" t="s">
        <v>448</v>
      </c>
      <c r="C15" s="41" t="s">
        <v>65</v>
      </c>
      <c r="D15" s="29" t="str">
        <f>IF(MID(HEX2BIN(MID($C15,4,1),8),8,1)="1","Enabled","Disabled")</f>
        <v>Enabled</v>
      </c>
      <c r="E15" s="29">
        <f>HEX2DEC(MID($C15,5,2))</f>
        <v>22</v>
      </c>
      <c r="F15" s="29">
        <f>HEX2DEC(MID($C15,7,2))</f>
        <v>82</v>
      </c>
      <c r="G15" s="29">
        <f>HEX2DEC(MID($C15,9,2))</f>
        <v>0</v>
      </c>
      <c r="H15" s="29">
        <f>HEX2DEC(MID($C15,11,2))</f>
        <v>128</v>
      </c>
      <c r="I15" s="51"/>
      <c r="J15" s="51"/>
      <c r="K15" s="51"/>
      <c r="L15" s="51"/>
      <c r="M15" s="51"/>
    </row>
    <row r="16" spans="1:13" s="25" customFormat="1" ht="39">
      <c r="A16" s="56" t="s">
        <v>748</v>
      </c>
      <c r="B16" s="44" t="s">
        <v>456</v>
      </c>
      <c r="C16" s="26" t="s">
        <v>749</v>
      </c>
      <c r="D16" s="26" t="s">
        <v>750</v>
      </c>
      <c r="E16" s="26" t="s">
        <v>458</v>
      </c>
      <c r="F16" s="26" t="s">
        <v>751</v>
      </c>
      <c r="G16" s="26" t="s">
        <v>752</v>
      </c>
      <c r="H16" s="26" t="s">
        <v>359</v>
      </c>
      <c r="I16" s="26" t="s">
        <v>753</v>
      </c>
      <c r="J16" s="26" t="s">
        <v>754</v>
      </c>
      <c r="K16" s="51"/>
      <c r="L16" s="51"/>
      <c r="M16" s="51"/>
    </row>
    <row r="17" spans="1:13" s="25" customFormat="1" ht="26.25">
      <c r="A17" s="56" t="s">
        <v>755</v>
      </c>
      <c r="B17" s="45" t="s">
        <v>456</v>
      </c>
      <c r="C17" s="41" t="s">
        <v>65</v>
      </c>
      <c r="D17" s="29" t="str">
        <f>IF(MID(HEX2BIN(MID($C17,4,1),8),8,1)="1","Enabled","Disabled")</f>
        <v>Enabled</v>
      </c>
      <c r="E17" s="29">
        <f>HEX2DEC(MID($C17,5,2))</f>
        <v>22</v>
      </c>
      <c r="F17" s="29">
        <f>HEX2DEC(MID($C17,7,2))</f>
        <v>82</v>
      </c>
      <c r="G17" s="29">
        <f>HEX2DEC(MID($C17,9,2))</f>
        <v>0</v>
      </c>
      <c r="H17" s="29">
        <f>HEX2DEC(MID($C17,11,2))</f>
        <v>128</v>
      </c>
      <c r="I17" s="29">
        <f>HEX2DEC(MID($C17,13,2))</f>
        <v>3</v>
      </c>
      <c r="J17" s="29">
        <f>HEX2DEC(MID($C17,15,2))</f>
        <v>0</v>
      </c>
      <c r="K17" s="51"/>
      <c r="L17" s="51"/>
      <c r="M17" s="51"/>
    </row>
    <row r="18" spans="1:13" s="25" customFormat="1" ht="51.75">
      <c r="A18" s="56" t="s">
        <v>756</v>
      </c>
      <c r="B18" s="44" t="s">
        <v>354</v>
      </c>
      <c r="C18" s="26" t="s">
        <v>757</v>
      </c>
      <c r="D18" s="26" t="s">
        <v>318</v>
      </c>
      <c r="E18" s="26" t="s">
        <v>355</v>
      </c>
      <c r="F18" s="26" t="s">
        <v>319</v>
      </c>
      <c r="G18" s="26" t="s">
        <v>320</v>
      </c>
      <c r="H18" s="26" t="s">
        <v>356</v>
      </c>
      <c r="I18" s="26" t="s">
        <v>357</v>
      </c>
      <c r="J18" s="26" t="s">
        <v>358</v>
      </c>
      <c r="K18" s="26" t="s">
        <v>359</v>
      </c>
      <c r="L18" s="26" t="s">
        <v>360</v>
      </c>
      <c r="M18" s="26" t="s">
        <v>361</v>
      </c>
    </row>
    <row r="19" spans="1:13" s="25" customFormat="1">
      <c r="A19" s="56" t="s">
        <v>758</v>
      </c>
      <c r="B19" s="45" t="s">
        <v>354</v>
      </c>
      <c r="C19" t="s">
        <v>759</v>
      </c>
      <c r="D19" s="29" t="str">
        <f>IF(MID(C19,3,2)="01","Report on Change", "Threshold")</f>
        <v>Threshold</v>
      </c>
      <c r="E19" s="29" t="str">
        <f>IF(MID(C19,5,2)="00","No","Yes")</f>
        <v>Yes</v>
      </c>
      <c r="F19" s="29" t="str">
        <f>IF((HEX2DEC(MID($C19,5,1))&gt;7),"Minutes","Hours")</f>
        <v>Minutes</v>
      </c>
      <c r="G19" s="29">
        <f>IF(F19="Minutes",HEX2DEC(MID(C19,5,2))-128,HEX2DEC(MID(C19,5,2)))</f>
        <v>6</v>
      </c>
      <c r="H19" s="29">
        <f>IF(HEX2DEC(MID($C19,9,1))&gt;7,HEX2DEC(MID($C19,9,2))-256,HEX2DEC(MID($C19,9,2)))</f>
        <v>25</v>
      </c>
      <c r="I19" s="29">
        <f>IF(HEX2DEC(MID($C19,11,1))&gt;7,HEX2DEC(MID($C19,11,2))-256,HEX2DEC(MID($C19,11,2)))</f>
        <v>48</v>
      </c>
      <c r="J19" s="29">
        <f>HEX2DEC(MID(C19,8,1))</f>
        <v>1</v>
      </c>
      <c r="K19" s="29">
        <f>HEX2DEC(MID(C19,7,1))</f>
        <v>1</v>
      </c>
      <c r="L19" s="29">
        <f>HEX2DEC(MID($C19,13,2))</f>
        <v>25</v>
      </c>
      <c r="M19" s="29">
        <f>HEX2DEC(MID($C19,15,2))</f>
        <v>48</v>
      </c>
    </row>
    <row r="20" spans="1:13" s="25" customFormat="1" ht="26.25">
      <c r="A20" s="56" t="s">
        <v>760</v>
      </c>
      <c r="B20" s="44" t="s">
        <v>465</v>
      </c>
      <c r="C20" s="26" t="s">
        <v>761</v>
      </c>
      <c r="D20" s="26" t="s">
        <v>742</v>
      </c>
      <c r="E20" s="26" t="s">
        <v>762</v>
      </c>
      <c r="F20" s="26" t="s">
        <v>763</v>
      </c>
      <c r="G20" s="51"/>
      <c r="H20" s="51"/>
      <c r="I20" s="51"/>
      <c r="J20" s="51"/>
      <c r="K20" s="51"/>
      <c r="L20" s="51"/>
      <c r="M20" s="51"/>
    </row>
    <row r="21" spans="1:13" s="25" customFormat="1" ht="26.25">
      <c r="A21" s="56" t="s">
        <v>764</v>
      </c>
      <c r="B21" s="45" t="s">
        <v>465</v>
      </c>
      <c r="C21" s="41" t="s">
        <v>765</v>
      </c>
      <c r="D21" s="29" t="str">
        <f>IF(MID(HEX2BIN(MID($C21,4,1),8),8,1)="1","Enabled","Disabled")</f>
        <v>Enabled</v>
      </c>
      <c r="E21" s="29">
        <f>HEX2DEC(MID($C21,5,2))</f>
        <v>2</v>
      </c>
      <c r="F21" s="29">
        <f>HEX2DEC(MID($C21,7,2))</f>
        <v>3</v>
      </c>
      <c r="G21" s="51"/>
      <c r="H21" s="51"/>
      <c r="I21" s="51"/>
      <c r="J21" s="51"/>
      <c r="K21" s="51"/>
      <c r="L21" s="51"/>
      <c r="M21" s="51"/>
    </row>
    <row r="22" spans="1:13" s="25" customFormat="1" ht="39">
      <c r="A22" s="56" t="s">
        <v>766</v>
      </c>
      <c r="B22" s="44" t="s">
        <v>471</v>
      </c>
      <c r="C22" s="26" t="s">
        <v>767</v>
      </c>
      <c r="D22" s="26" t="s">
        <v>750</v>
      </c>
      <c r="E22" s="26" t="s">
        <v>472</v>
      </c>
      <c r="F22" s="26" t="s">
        <v>768</v>
      </c>
      <c r="G22" s="26" t="s">
        <v>769</v>
      </c>
      <c r="H22" s="51"/>
      <c r="I22" s="51"/>
      <c r="J22" s="51"/>
      <c r="K22" s="51"/>
      <c r="L22" s="51"/>
      <c r="M22" s="51"/>
    </row>
    <row r="23" spans="1:13" s="25" customFormat="1" ht="26.25">
      <c r="A23" s="56" t="s">
        <v>770</v>
      </c>
      <c r="B23" s="45" t="s">
        <v>471</v>
      </c>
      <c r="C23" s="41" t="s">
        <v>771</v>
      </c>
      <c r="D23" s="29" t="str">
        <f>IF(MID(HEX2BIN(MID($C23,4,1),8),8,1)="1","Enabled","Disabled")</f>
        <v>Enabled</v>
      </c>
      <c r="E23" s="29">
        <f>HEX2DEC(MID($C23,5,4))</f>
        <v>3</v>
      </c>
      <c r="F23" s="29">
        <f>HEX2DEC(MID($C23,9,4))</f>
        <v>5</v>
      </c>
      <c r="G23" s="29">
        <f>HEX2DEC(MID($C23,13,4))</f>
        <v>6</v>
      </c>
      <c r="H23" s="51"/>
      <c r="I23" s="51"/>
      <c r="J23" s="51"/>
      <c r="K23" s="51"/>
      <c r="L23" s="51"/>
      <c r="M23" s="51"/>
    </row>
    <row r="24" spans="1:13" s="25" customFormat="1" ht="26.25">
      <c r="A24" s="56" t="s">
        <v>772</v>
      </c>
      <c r="B24" s="44" t="s">
        <v>773</v>
      </c>
      <c r="C24" s="26" t="s">
        <v>774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</row>
    <row r="25" spans="1:13" s="25" customFormat="1" ht="26.25">
      <c r="A25" s="56" t="s">
        <v>775</v>
      </c>
      <c r="B25" s="45" t="s">
        <v>773</v>
      </c>
      <c r="C25" s="41" t="s">
        <v>776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</row>
    <row r="26" spans="1:13" s="25" customFormat="1">
      <c r="A26" s="56" t="s">
        <v>777</v>
      </c>
      <c r="B26" s="44" t="s">
        <v>778</v>
      </c>
      <c r="C26" s="26" t="s">
        <v>779</v>
      </c>
      <c r="D26" s="26" t="s">
        <v>478</v>
      </c>
      <c r="E26" s="51"/>
      <c r="F26" s="51"/>
      <c r="G26" s="51"/>
      <c r="H26" s="51"/>
      <c r="I26" s="51"/>
      <c r="J26" s="51"/>
      <c r="K26" s="51"/>
      <c r="L26" s="51"/>
      <c r="M26" s="51"/>
    </row>
    <row r="27" spans="1:13" s="25" customFormat="1">
      <c r="A27" s="56" t="s">
        <v>780</v>
      </c>
      <c r="B27" s="45" t="s">
        <v>778</v>
      </c>
      <c r="C27" s="41" t="s">
        <v>781</v>
      </c>
      <c r="D27" s="29" t="str">
        <f>IF(MID(HEX2BIN(MID($C27,4,1),8),8,1)="1","Enabled","Disabled")</f>
        <v>Enabled</v>
      </c>
      <c r="E27" s="51"/>
      <c r="F27" s="51"/>
      <c r="G27" s="51"/>
      <c r="H27" s="51"/>
      <c r="I27" s="51"/>
      <c r="J27" s="51"/>
      <c r="K27" s="51"/>
      <c r="L27" s="51"/>
      <c r="M27" s="51"/>
    </row>
    <row r="28" spans="1:13" s="25" customFormat="1" ht="51.75">
      <c r="A28" s="56" t="s">
        <v>782</v>
      </c>
      <c r="B28" s="44" t="s">
        <v>23</v>
      </c>
      <c r="C28" s="26" t="s">
        <v>783</v>
      </c>
      <c r="D28" s="26" t="s">
        <v>364</v>
      </c>
      <c r="E28" s="26" t="s">
        <v>365</v>
      </c>
      <c r="F28" s="26" t="s">
        <v>366</v>
      </c>
      <c r="G28" s="51"/>
      <c r="H28" s="51"/>
      <c r="I28" s="51"/>
      <c r="J28" s="51"/>
      <c r="K28" s="51"/>
      <c r="L28" s="51"/>
      <c r="M28" s="51"/>
    </row>
    <row r="29" spans="1:13" s="25" customFormat="1">
      <c r="A29" s="56" t="s">
        <v>784</v>
      </c>
      <c r="B29" s="45" t="s">
        <v>23</v>
      </c>
      <c r="C29" s="41" t="s">
        <v>785</v>
      </c>
      <c r="D29" s="29" t="str">
        <f>IF(MID($C29,3,2)="00","Yes","No")</f>
        <v>Yes</v>
      </c>
      <c r="E29" s="40">
        <f>HEX2DEC(MID($C29,5,4))/4</f>
        <v>0.25</v>
      </c>
      <c r="F29" s="40">
        <f>HEX2DEC(MID($C29,9,4))/4</f>
        <v>0.25</v>
      </c>
      <c r="G29" s="51"/>
      <c r="H29" s="51"/>
      <c r="I29" s="51"/>
      <c r="J29" s="51"/>
      <c r="K29" s="51"/>
      <c r="L29" s="51"/>
      <c r="M29" s="51"/>
    </row>
    <row r="30" spans="1:13" s="25" customFormat="1" ht="39">
      <c r="A30" s="56" t="s">
        <v>786</v>
      </c>
      <c r="B30" s="44" t="s">
        <v>367</v>
      </c>
      <c r="C30" s="26" t="s">
        <v>787</v>
      </c>
      <c r="D30" s="26" t="s">
        <v>368</v>
      </c>
      <c r="E30" s="26" t="s">
        <v>369</v>
      </c>
      <c r="F30" s="26" t="s">
        <v>370</v>
      </c>
      <c r="G30" s="26" t="s">
        <v>371</v>
      </c>
      <c r="H30" s="51"/>
      <c r="I30" s="51"/>
      <c r="J30" s="51"/>
      <c r="K30" s="51"/>
      <c r="L30" s="51"/>
      <c r="M30" s="51"/>
    </row>
    <row r="31" spans="1:13" s="25" customFormat="1">
      <c r="A31" s="56" t="s">
        <v>788</v>
      </c>
      <c r="B31" s="45" t="s">
        <v>367</v>
      </c>
      <c r="C31" s="41" t="s">
        <v>789</v>
      </c>
      <c r="D31" s="29" t="str">
        <f>IF(ISODD(HEX2DEC(MID($C31,3,2)))=TRUE,"No","Yes")</f>
        <v>Yes</v>
      </c>
      <c r="E31" s="29" t="str">
        <f>IF((HEX2DEC(MID($C31,3,2)))&gt;1,"No","Yes")</f>
        <v>Yes</v>
      </c>
      <c r="F31" s="29">
        <f>HEX2DEC(MID($C31,5,4))/4</f>
        <v>0.5</v>
      </c>
      <c r="G31" s="40">
        <f>HEX2DEC(MID($C31,9,4))/4</f>
        <v>1.25</v>
      </c>
      <c r="H31" s="51"/>
      <c r="I31" s="51"/>
      <c r="J31" s="51"/>
      <c r="K31" s="51"/>
      <c r="L31" s="51"/>
      <c r="M31" s="51"/>
    </row>
    <row r="32" spans="1:13" s="25" customFormat="1" ht="39">
      <c r="A32" s="56" t="s">
        <v>790</v>
      </c>
      <c r="B32" s="44" t="s">
        <v>373</v>
      </c>
      <c r="C32" s="26" t="s">
        <v>791</v>
      </c>
      <c r="D32" s="26" t="s">
        <v>374</v>
      </c>
      <c r="E32" s="26" t="s">
        <v>375</v>
      </c>
      <c r="F32" s="26" t="s">
        <v>376</v>
      </c>
      <c r="G32" s="26" t="s">
        <v>377</v>
      </c>
      <c r="H32" s="26" t="s">
        <v>378</v>
      </c>
      <c r="I32" s="26" t="s">
        <v>379</v>
      </c>
      <c r="J32" s="26" t="s">
        <v>380</v>
      </c>
      <c r="K32" s="26" t="s">
        <v>381</v>
      </c>
      <c r="L32" s="51"/>
      <c r="M32" s="51"/>
    </row>
    <row r="33" spans="1:13" s="25" customFormat="1">
      <c r="A33" s="56" t="s">
        <v>792</v>
      </c>
      <c r="B33" s="45" t="s">
        <v>373</v>
      </c>
      <c r="C33" s="66" t="s">
        <v>793</v>
      </c>
      <c r="D33" s="29" t="str">
        <f>IF(MID($C33,3,2)="00","Yes","No")</f>
        <v>Yes</v>
      </c>
      <c r="E33" s="29" t="str">
        <f>IF(MID(HEX2BIN(MID($C33,6,1),8),8,1)="1","No", "Yes")</f>
        <v>No</v>
      </c>
      <c r="F33" s="29" t="str">
        <f>IF(MID(HEX2BIN(MID($C33,6,1),8),7,1)="1","No", "Yes")</f>
        <v>No</v>
      </c>
      <c r="G33" s="29">
        <f>BIN2DEC(MID(HEX2BIN(MID($C33,5,2),8),3,4))</f>
        <v>1</v>
      </c>
      <c r="H33" s="29" t="str">
        <f>IF((HEX2DEC(MID($C33,5,1))&gt;7),"Minutes","Hours")</f>
        <v>Hours</v>
      </c>
      <c r="I33" s="29">
        <f>IF(H33="Minutes",HEX2DEC(MID($C33,7,2))-128,HEX2DEC(MID($C33,7,2)))</f>
        <v>130</v>
      </c>
      <c r="J33" s="29" t="str">
        <f>IF(MID(HEX2BIN(MID($C33,9,2),8),1,2)="00","250mS",IF(MID(HEX2BIN(MID($C33,9,2),8),1,2)="01","Sec",IF(MID(HEX2BIN(MID($C33,9,2),8),1,2)="10","Min","Hours")))</f>
        <v>250mS</v>
      </c>
      <c r="K33" s="29" t="str">
        <f>IF(J33="250mS",BIN2DEC(MID(HEX2BIN(MID($C33,9,2),8),3,6))*250&amp;"mS",BIN2DEC(MID(HEX2BIN(MID($C33,9,2),8),3,6)))</f>
        <v>15000mS</v>
      </c>
      <c r="L33" s="51"/>
      <c r="M33" s="51"/>
    </row>
    <row r="34" spans="1:13" s="25" customFormat="1" ht="64.5">
      <c r="A34" s="56" t="s">
        <v>794</v>
      </c>
      <c r="B34" s="44" t="s">
        <v>795</v>
      </c>
      <c r="C34" s="26" t="s">
        <v>796</v>
      </c>
      <c r="D34" s="26" t="s">
        <v>364</v>
      </c>
      <c r="E34" s="26" t="s">
        <v>797</v>
      </c>
      <c r="F34" s="26" t="s">
        <v>798</v>
      </c>
      <c r="G34" s="26" t="s">
        <v>485</v>
      </c>
      <c r="H34" s="26" t="s">
        <v>799</v>
      </c>
      <c r="I34" s="26" t="s">
        <v>800</v>
      </c>
      <c r="J34" s="26" t="s">
        <v>801</v>
      </c>
      <c r="K34" s="26" t="s">
        <v>320</v>
      </c>
      <c r="L34" s="51"/>
      <c r="M34" s="51"/>
    </row>
    <row r="35" spans="1:13" s="25" customFormat="1">
      <c r="A35" s="56" t="s">
        <v>802</v>
      </c>
      <c r="B35" s="45" t="s">
        <v>795</v>
      </c>
      <c r="C35" s="41" t="s">
        <v>803</v>
      </c>
      <c r="D35" s="29" t="str">
        <f>IF(MID($C35,3,2)="00","Yes","No")</f>
        <v>Yes</v>
      </c>
      <c r="E35" s="29">
        <f>BIN2DEC(MID(HEX2BIN(MID($C35,5,2),8),3,4))</f>
        <v>0</v>
      </c>
      <c r="F35" s="29" t="str">
        <f>IF(MID(HEX2BIN(MID($C35,6,1),8),7,1)="1","Unconfirmed","Confirmed")</f>
        <v>Unconfirmed</v>
      </c>
      <c r="G35" s="29" t="str">
        <f>IF(MID(HEX2BIN(MID($C35,6,1),8),8,1)="1","Disabled","Enabled")</f>
        <v>Disabled</v>
      </c>
      <c r="H35" s="29" t="str">
        <f>IF(LEFT(HEX2BIN(MID($C35,7,1),4),1)="1","Minutes","Hours")</f>
        <v>Hours</v>
      </c>
      <c r="I35" s="29">
        <f>IF(RIGHT(HEX2BIN(MID($C35,7,2),8),7)="0000000","Disabled",BIN2DEC(RIGHT(HEX2BIN(MID($C35,7,2),8),7)))</f>
        <v>8</v>
      </c>
      <c r="J35" s="29" t="str">
        <f>IF(LEFT(HEX2BIN(MID($C35,9,1),4),1)="1","Minutes","Hours")</f>
        <v>Minutes</v>
      </c>
      <c r="K35" s="29">
        <f>IF(RIGHT(HEX2BIN(MID($C35,9,2),8),7)="0000000","Disabled",BIN2DEC(RIGHT(HEX2BIN(MID($C35,9,2),8),7)))</f>
        <v>1</v>
      </c>
      <c r="L35" s="51"/>
      <c r="M35" s="51"/>
    </row>
    <row r="36" spans="1:13" ht="27" customHeight="1">
      <c r="A36" s="56" t="s">
        <v>804</v>
      </c>
      <c r="B36" s="44" t="s">
        <v>51</v>
      </c>
      <c r="C36" s="26" t="s">
        <v>805</v>
      </c>
      <c r="D36" s="26" t="s">
        <v>383</v>
      </c>
      <c r="E36" s="51"/>
      <c r="F36" s="51"/>
      <c r="G36" s="51"/>
      <c r="H36" s="51"/>
      <c r="I36" s="51"/>
      <c r="J36" s="51"/>
      <c r="K36" s="51"/>
      <c r="L36" s="51"/>
      <c r="M36" s="51"/>
    </row>
    <row r="37" spans="1:13" ht="27" customHeight="1">
      <c r="A37" s="56" t="s">
        <v>806</v>
      </c>
      <c r="B37" s="45" t="s">
        <v>51</v>
      </c>
      <c r="C37" s="41" t="s">
        <v>384</v>
      </c>
      <c r="D37" s="29">
        <f>HEX2DEC(MID($C37,3,2))</f>
        <v>6</v>
      </c>
      <c r="E37" s="51"/>
      <c r="F37" s="51"/>
      <c r="G37" s="51"/>
      <c r="H37" s="51"/>
      <c r="I37" s="51"/>
      <c r="J37" s="51"/>
      <c r="K37" s="51"/>
      <c r="L37" s="51"/>
      <c r="M37" s="51"/>
    </row>
    <row r="38" spans="1:13" ht="27" customHeight="1">
      <c r="A38" s="56" t="s">
        <v>807</v>
      </c>
      <c r="B38" s="44" t="s">
        <v>491</v>
      </c>
      <c r="C38" s="26" t="s">
        <v>808</v>
      </c>
      <c r="D38" s="26" t="s">
        <v>809</v>
      </c>
      <c r="E38" s="26" t="s">
        <v>492</v>
      </c>
      <c r="F38" s="26" t="s">
        <v>493</v>
      </c>
      <c r="G38" s="51"/>
      <c r="H38" s="51"/>
      <c r="I38" s="51"/>
      <c r="J38" s="51"/>
      <c r="K38" s="51"/>
      <c r="L38" s="51"/>
      <c r="M38" s="51"/>
    </row>
    <row r="39" spans="1:13" ht="27" customHeight="1">
      <c r="A39" s="56" t="s">
        <v>810</v>
      </c>
      <c r="B39" s="45" t="s">
        <v>491</v>
      </c>
      <c r="C39" s="41" t="s">
        <v>811</v>
      </c>
      <c r="D39" s="29" t="str">
        <f>IF(MID(HEX2BIN(MID($C39,4,1),8),8,1)="1","Enabled","Disabled")</f>
        <v>Enabled</v>
      </c>
      <c r="E39" s="29">
        <f>HEX2DEC(MID($C39,5,4))</f>
        <v>2</v>
      </c>
      <c r="F39" s="29">
        <f>HEX2DEC(MID($C39,9,4))</f>
        <v>3</v>
      </c>
      <c r="G39" s="51"/>
      <c r="H39" s="51"/>
      <c r="I39" s="51"/>
      <c r="J39" s="51"/>
      <c r="K39" s="51"/>
      <c r="L39" s="51"/>
      <c r="M39" s="51"/>
    </row>
    <row r="40" spans="1:13" ht="27" customHeight="1">
      <c r="A40" s="56" t="s">
        <v>812</v>
      </c>
      <c r="B40" s="44" t="s">
        <v>496</v>
      </c>
      <c r="C40" s="26" t="s">
        <v>813</v>
      </c>
      <c r="D40" s="26" t="s">
        <v>814</v>
      </c>
      <c r="E40" s="26" t="s">
        <v>497</v>
      </c>
      <c r="F40" s="26" t="s">
        <v>815</v>
      </c>
      <c r="G40" s="26" t="s">
        <v>816</v>
      </c>
      <c r="H40" s="51"/>
      <c r="I40" s="51"/>
      <c r="J40" s="51"/>
      <c r="K40" s="51"/>
      <c r="L40" s="51"/>
      <c r="M40" s="51"/>
    </row>
    <row r="41" spans="1:13" ht="27" customHeight="1">
      <c r="A41" s="56" t="s">
        <v>817</v>
      </c>
      <c r="B41" s="45" t="s">
        <v>496</v>
      </c>
      <c r="C41" s="41" t="s">
        <v>818</v>
      </c>
      <c r="D41" s="29" t="str">
        <f>IF(MID(HEX2BIN(MID($C41,4,1),8),8,1)="1","Enabled","Disabled")</f>
        <v>Enabled</v>
      </c>
      <c r="E41" s="29">
        <f>HEX2DEC(MID($C41,5,4))</f>
        <v>8</v>
      </c>
      <c r="F41" s="29">
        <f>HEX2DEC(MID($C41,9,4))</f>
        <v>7</v>
      </c>
      <c r="G41" s="29">
        <f>HEX2DEC(MID($C41,13,4))</f>
        <v>6</v>
      </c>
      <c r="H41" s="51"/>
      <c r="I41" s="51"/>
      <c r="J41" s="51"/>
      <c r="K41" s="51"/>
      <c r="L41" s="51"/>
      <c r="M41" s="51"/>
    </row>
    <row r="42" spans="1:13" ht="27" customHeight="1">
      <c r="A42" s="56" t="s">
        <v>819</v>
      </c>
      <c r="B42" s="44" t="s">
        <v>508</v>
      </c>
      <c r="C42" s="26" t="s">
        <v>820</v>
      </c>
      <c r="D42" s="26" t="s">
        <v>809</v>
      </c>
      <c r="E42" s="26" t="s">
        <v>509</v>
      </c>
      <c r="F42" s="26" t="s">
        <v>510</v>
      </c>
      <c r="G42" s="51"/>
      <c r="H42" s="51"/>
      <c r="I42" s="51"/>
      <c r="J42" s="51"/>
      <c r="K42" s="51"/>
      <c r="L42" s="51"/>
      <c r="M42" s="51"/>
    </row>
    <row r="43" spans="1:13" ht="27" customHeight="1">
      <c r="A43" s="56" t="s">
        <v>821</v>
      </c>
      <c r="B43" s="45" t="s">
        <v>508</v>
      </c>
      <c r="C43" s="41" t="s">
        <v>822</v>
      </c>
      <c r="D43" s="29" t="str">
        <f>IF(MID(HEX2BIN(MID($C43,4,1),8),8,1)="1","Enabled","Disabled")</f>
        <v>Enabled</v>
      </c>
      <c r="E43" s="29">
        <f>HEX2DEC(MID($C43,5,4))</f>
        <v>1</v>
      </c>
      <c r="F43" s="29">
        <f>HEX2DEC(MID($C43,9,4))</f>
        <v>2</v>
      </c>
      <c r="G43" s="51"/>
      <c r="H43" s="51"/>
      <c r="I43" s="51"/>
      <c r="J43" s="51"/>
      <c r="K43" s="51"/>
      <c r="L43" s="51"/>
      <c r="M43" s="51"/>
    </row>
    <row r="44" spans="1:13" ht="27" customHeight="1">
      <c r="A44" s="56" t="s">
        <v>823</v>
      </c>
      <c r="B44" s="44" t="s">
        <v>502</v>
      </c>
      <c r="C44" s="26" t="s">
        <v>824</v>
      </c>
      <c r="D44" s="26" t="s">
        <v>814</v>
      </c>
      <c r="E44" s="26" t="s">
        <v>503</v>
      </c>
      <c r="F44" s="26" t="s">
        <v>825</v>
      </c>
      <c r="G44" s="26" t="s">
        <v>826</v>
      </c>
      <c r="H44" s="51"/>
      <c r="I44" s="51"/>
      <c r="J44" s="51"/>
      <c r="K44" s="51"/>
      <c r="L44" s="51"/>
      <c r="M44" s="51"/>
    </row>
    <row r="45" spans="1:13" ht="27" customHeight="1">
      <c r="A45" s="56" t="s">
        <v>827</v>
      </c>
      <c r="B45" s="45" t="s">
        <v>502</v>
      </c>
      <c r="C45" s="41" t="s">
        <v>828</v>
      </c>
      <c r="D45" s="29" t="str">
        <f>IF(MID(HEX2BIN(MID($C45,4,1),8),8,1)="1","Enabled","Disabled")</f>
        <v>Enabled</v>
      </c>
      <c r="E45" s="29">
        <f>HEX2DEC(MID($C45,5,4))</f>
        <v>1</v>
      </c>
      <c r="F45" s="29">
        <f>HEX2DEC(MID($C45,9,4))</f>
        <v>2</v>
      </c>
      <c r="G45" s="29">
        <f>HEX2DEC(MID($C45,13,4))</f>
        <v>3</v>
      </c>
      <c r="H45" s="51"/>
      <c r="I45" s="51"/>
      <c r="J45" s="51"/>
      <c r="K45" s="51"/>
      <c r="L45" s="51"/>
      <c r="M45" s="51"/>
    </row>
    <row r="46" spans="1:13" ht="27" customHeight="1">
      <c r="A46" s="56" t="s">
        <v>829</v>
      </c>
      <c r="B46" s="44" t="s">
        <v>545</v>
      </c>
      <c r="C46" s="26" t="s">
        <v>830</v>
      </c>
      <c r="D46" s="26" t="s">
        <v>809</v>
      </c>
      <c r="E46" s="26" t="s">
        <v>546</v>
      </c>
      <c r="F46" s="26" t="s">
        <v>547</v>
      </c>
      <c r="G46" s="51"/>
      <c r="H46" s="51"/>
      <c r="I46" s="51"/>
      <c r="J46" s="51"/>
      <c r="K46" s="51"/>
      <c r="L46" s="51"/>
      <c r="M46" s="51"/>
    </row>
    <row r="47" spans="1:13" ht="27" customHeight="1">
      <c r="A47" s="56" t="s">
        <v>831</v>
      </c>
      <c r="B47" s="45" t="s">
        <v>545</v>
      </c>
      <c r="C47" s="41" t="s">
        <v>832</v>
      </c>
      <c r="D47" s="29" t="str">
        <f>IF(MID(HEX2BIN(MID($C47,4,1),8),8,1)="1","Enabled","Disabled")</f>
        <v>Enabled</v>
      </c>
      <c r="E47" s="29">
        <f>HEX2DEC(MID($C47,5,4))</f>
        <v>12</v>
      </c>
      <c r="F47" s="29">
        <f>HEX2DEC(MID($C47,9,4))</f>
        <v>13</v>
      </c>
      <c r="G47" s="51"/>
      <c r="H47" s="51"/>
      <c r="I47" s="51"/>
      <c r="J47" s="51"/>
      <c r="K47" s="51"/>
      <c r="L47" s="51"/>
      <c r="M47" s="51"/>
    </row>
    <row r="48" spans="1:13" ht="27" customHeight="1">
      <c r="A48" s="56" t="s">
        <v>833</v>
      </c>
      <c r="B48" s="44" t="s">
        <v>538</v>
      </c>
      <c r="C48" s="26" t="s">
        <v>834</v>
      </c>
      <c r="D48" s="26" t="s">
        <v>814</v>
      </c>
      <c r="E48" s="26" t="s">
        <v>539</v>
      </c>
      <c r="F48" s="26" t="s">
        <v>835</v>
      </c>
      <c r="G48" s="26" t="s">
        <v>836</v>
      </c>
      <c r="H48" s="51"/>
      <c r="I48" s="51"/>
      <c r="J48" s="51"/>
      <c r="K48" s="51"/>
      <c r="L48" s="51"/>
      <c r="M48" s="51"/>
    </row>
    <row r="49" spans="1:13" ht="27" customHeight="1">
      <c r="A49" s="56" t="s">
        <v>837</v>
      </c>
      <c r="B49" s="45" t="s">
        <v>538</v>
      </c>
      <c r="C49" s="41" t="s">
        <v>838</v>
      </c>
      <c r="D49" s="29" t="str">
        <f>IF(MID(HEX2BIN(MID($C49,4,1),8),8,1)="1","Enabled","Disabled")</f>
        <v>Enabled</v>
      </c>
      <c r="E49" s="29">
        <f>HEX2DEC(MID($C49,5,4))</f>
        <v>9</v>
      </c>
      <c r="F49" s="29">
        <f>HEX2DEC(MID($C49,9,4))</f>
        <v>10</v>
      </c>
      <c r="G49" s="29">
        <f>HEX2DEC(MID($C49,13,4))</f>
        <v>11</v>
      </c>
      <c r="H49" s="51"/>
      <c r="I49" s="51"/>
      <c r="J49" s="51"/>
      <c r="K49" s="51"/>
      <c r="L49" s="51"/>
      <c r="M49" s="51"/>
    </row>
    <row r="50" spans="1:13" ht="27" customHeight="1">
      <c r="A50" s="56" t="s">
        <v>839</v>
      </c>
      <c r="B50" s="44" t="s">
        <v>519</v>
      </c>
      <c r="C50" s="26" t="s">
        <v>840</v>
      </c>
      <c r="D50" s="26" t="s">
        <v>809</v>
      </c>
      <c r="E50" s="26" t="s">
        <v>520</v>
      </c>
      <c r="F50" s="26" t="s">
        <v>521</v>
      </c>
      <c r="G50" s="51"/>
      <c r="H50" s="51"/>
      <c r="I50" s="51"/>
      <c r="J50" s="51"/>
      <c r="K50" s="51"/>
      <c r="L50" s="51"/>
      <c r="M50" s="51"/>
    </row>
    <row r="51" spans="1:13" ht="27" customHeight="1">
      <c r="A51" s="56" t="s">
        <v>841</v>
      </c>
      <c r="B51" s="45" t="s">
        <v>519</v>
      </c>
      <c r="C51" s="41" t="s">
        <v>842</v>
      </c>
      <c r="D51" s="29" t="str">
        <f>IF(MID(HEX2BIN(MID($C51,4,1),8),8,1)="1","Enabled","Disabled")</f>
        <v>Enabled</v>
      </c>
      <c r="E51" s="29">
        <f>HEX2DEC(MID($C51,5,4))</f>
        <v>8</v>
      </c>
      <c r="F51" s="29">
        <f>HEX2DEC(MID($C51,9,4))</f>
        <v>9</v>
      </c>
      <c r="G51" s="51"/>
      <c r="H51" s="51"/>
      <c r="I51" s="51"/>
      <c r="J51" s="51"/>
      <c r="K51" s="51"/>
      <c r="L51" s="51"/>
      <c r="M51" s="51"/>
    </row>
    <row r="52" spans="1:13" ht="26.25">
      <c r="A52" s="56" t="s">
        <v>843</v>
      </c>
      <c r="B52" s="44" t="s">
        <v>513</v>
      </c>
      <c r="C52" s="26" t="s">
        <v>844</v>
      </c>
      <c r="D52" s="26" t="s">
        <v>814</v>
      </c>
      <c r="E52" s="26" t="s">
        <v>514</v>
      </c>
      <c r="F52" s="26" t="s">
        <v>845</v>
      </c>
      <c r="G52" s="26" t="s">
        <v>846</v>
      </c>
      <c r="H52" s="51"/>
      <c r="I52" s="51"/>
      <c r="J52" s="51"/>
      <c r="K52" s="51"/>
      <c r="L52" s="51"/>
      <c r="M52" s="51"/>
    </row>
    <row r="53" spans="1:13" ht="27" customHeight="1">
      <c r="A53" s="56" t="s">
        <v>847</v>
      </c>
      <c r="B53" s="45" t="s">
        <v>513</v>
      </c>
      <c r="C53" s="41" t="s">
        <v>848</v>
      </c>
      <c r="D53" s="29" t="str">
        <f>IF(MID(HEX2BIN(MID($C53,4,1),8),8,1)="1","Enabled","Disabled")</f>
        <v>Enabled</v>
      </c>
      <c r="E53" s="29">
        <f>HEX2DEC(MID($C53,5,4))</f>
        <v>5</v>
      </c>
      <c r="F53" s="29">
        <f>HEX2DEC(MID($C53,9,4))</f>
        <v>6</v>
      </c>
      <c r="G53" s="29">
        <f>HEX2DEC(MID($C53,13,4))</f>
        <v>7</v>
      </c>
      <c r="H53" s="51"/>
      <c r="I53" s="51"/>
      <c r="J53" s="51"/>
      <c r="K53" s="51"/>
      <c r="L53" s="51"/>
      <c r="M53" s="51"/>
    </row>
    <row r="54" spans="1:13" ht="27" customHeight="1">
      <c r="A54" s="56" t="s">
        <v>849</v>
      </c>
      <c r="B54" s="44" t="s">
        <v>532</v>
      </c>
      <c r="C54" s="26" t="s">
        <v>850</v>
      </c>
      <c r="D54" s="26" t="s">
        <v>809</v>
      </c>
      <c r="E54" s="26" t="s">
        <v>533</v>
      </c>
      <c r="F54" s="26" t="s">
        <v>534</v>
      </c>
      <c r="G54" s="51"/>
      <c r="H54" s="51"/>
      <c r="I54" s="51"/>
      <c r="J54" s="51"/>
      <c r="K54" s="51"/>
      <c r="L54" s="51"/>
      <c r="M54" s="51"/>
    </row>
    <row r="55" spans="1:13" ht="27" customHeight="1">
      <c r="A55" s="56" t="s">
        <v>851</v>
      </c>
      <c r="B55" s="45" t="s">
        <v>532</v>
      </c>
      <c r="C55" s="41" t="s">
        <v>852</v>
      </c>
      <c r="D55" s="29" t="str">
        <f>IF(MID(HEX2BIN(MID($C55,4,1),8),8,1)="1","Enabled","Disabled")</f>
        <v>Enabled</v>
      </c>
      <c r="E55" s="29">
        <f>HEX2DEC(MID($C55,5,4))</f>
        <v>12</v>
      </c>
      <c r="F55" s="29">
        <f>HEX2DEC(MID($C55,9,4))</f>
        <v>13</v>
      </c>
      <c r="G55" s="51"/>
      <c r="H55" s="51"/>
      <c r="I55" s="51"/>
      <c r="J55" s="51"/>
      <c r="K55" s="51"/>
      <c r="L55" s="51"/>
      <c r="M55" s="51"/>
    </row>
    <row r="56" spans="1:13" ht="27" customHeight="1">
      <c r="A56" s="56" t="s">
        <v>853</v>
      </c>
      <c r="B56" s="44" t="s">
        <v>525</v>
      </c>
      <c r="C56" s="26" t="s">
        <v>854</v>
      </c>
      <c r="D56" s="26" t="s">
        <v>814</v>
      </c>
      <c r="E56" s="26" t="s">
        <v>526</v>
      </c>
      <c r="F56" s="26" t="s">
        <v>855</v>
      </c>
      <c r="G56" s="26" t="s">
        <v>856</v>
      </c>
      <c r="H56" s="51"/>
      <c r="I56" s="51"/>
      <c r="J56" s="51"/>
      <c r="K56" s="51"/>
      <c r="L56" s="51"/>
      <c r="M56" s="51"/>
    </row>
    <row r="57" spans="1:13" ht="27" customHeight="1">
      <c r="A57" s="56" t="s">
        <v>857</v>
      </c>
      <c r="B57" s="45" t="s">
        <v>525</v>
      </c>
      <c r="C57" s="41" t="s">
        <v>858</v>
      </c>
      <c r="D57" s="29" t="str">
        <f>IF(MID(HEX2BIN(MID($C57,4,1),8),8,1)="1","Enabled","Disabled")</f>
        <v>Enabled</v>
      </c>
      <c r="E57" s="29">
        <f>HEX2DEC(MID($C57,5,4))</f>
        <v>9</v>
      </c>
      <c r="F57" s="29">
        <f>HEX2DEC(MID($C57,9,4))</f>
        <v>10</v>
      </c>
      <c r="G57" s="29">
        <f>HEX2DEC(MID($C57,13,4))</f>
        <v>11</v>
      </c>
      <c r="H57" s="51"/>
      <c r="I57" s="51"/>
      <c r="J57" s="51"/>
      <c r="K57" s="51"/>
      <c r="L57" s="51"/>
      <c r="M57" s="51"/>
    </row>
    <row r="58" spans="1:13" ht="27" customHeight="1">
      <c r="A58" s="56" t="s">
        <v>859</v>
      </c>
      <c r="B58" s="44" t="s">
        <v>57</v>
      </c>
      <c r="C58" s="26" t="s">
        <v>860</v>
      </c>
      <c r="D58" s="26" t="s">
        <v>319</v>
      </c>
      <c r="E58" s="26" t="s">
        <v>320</v>
      </c>
      <c r="F58" s="26" t="s">
        <v>582</v>
      </c>
      <c r="G58" s="26" t="s">
        <v>563</v>
      </c>
      <c r="H58" s="26" t="s">
        <v>564</v>
      </c>
      <c r="I58" s="26" t="s">
        <v>565</v>
      </c>
      <c r="J58" s="26" t="s">
        <v>566</v>
      </c>
      <c r="K58" s="26" t="s">
        <v>567</v>
      </c>
      <c r="L58" s="26" t="s">
        <v>1168</v>
      </c>
      <c r="M58" s="51"/>
    </row>
    <row r="59" spans="1:13" ht="27" customHeight="1">
      <c r="A59" s="56" t="s">
        <v>861</v>
      </c>
      <c r="B59" s="45" t="s">
        <v>57</v>
      </c>
      <c r="C59" s="41" t="s">
        <v>1170</v>
      </c>
      <c r="D59" s="29" t="str">
        <f>IF(LEFT(HEX2BIN(MID($C59,3,1),4),1)="1","Minutes","Hours")</f>
        <v>Minutes</v>
      </c>
      <c r="E59" s="29">
        <f>BIN2DEC(RIGHT(HEX2BIN(MID(C59,3,2),8),7))</f>
        <v>127</v>
      </c>
      <c r="F59" s="29">
        <f>HEX2DEC(MID($C59,5,1))*5</f>
        <v>75</v>
      </c>
      <c r="G59" s="29">
        <f>HEX2DEC(MID($C59,6,1))</f>
        <v>15</v>
      </c>
      <c r="H59" s="40">
        <f>HEX2DEC(MID($C59,9,2))+ (BIN2DEC(RIGHT(HEX2BIN(MID($C59,8,1),8),5)) * 256)</f>
        <v>4095</v>
      </c>
      <c r="I59" s="40">
        <f>HEX2DEC(MID($C59,13,2))+ (BIN2DEC(RIGHT(HEX2BIN(MID($C59,12,1),8),5))*256)</f>
        <v>4095</v>
      </c>
      <c r="J59" s="29" t="str">
        <f>IF(LEFT(HEX2BIN(MID($C59,15,1),4),1)="0","Seconds","Minutes")</f>
        <v>Minutes</v>
      </c>
      <c r="K59" s="29">
        <f>BIN2DEC(RIGHT(HEX2BIN(MID($C59,15,2),8),7))</f>
        <v>127</v>
      </c>
      <c r="L59" s="40">
        <f>(HEX2DEC(MID($C59,17,2)))*5</f>
        <v>1275</v>
      </c>
      <c r="M59" s="51"/>
    </row>
    <row r="60" spans="1:13" ht="27" customHeight="1">
      <c r="A60" s="56" t="s">
        <v>862</v>
      </c>
      <c r="B60" s="44" t="s">
        <v>386</v>
      </c>
      <c r="C60" s="26" t="s">
        <v>863</v>
      </c>
      <c r="D60" s="26" t="s">
        <v>387</v>
      </c>
      <c r="E60" s="26" t="s">
        <v>388</v>
      </c>
      <c r="F60" s="26" t="s">
        <v>389</v>
      </c>
      <c r="G60" s="26" t="s">
        <v>390</v>
      </c>
      <c r="H60" s="26" t="s">
        <v>391</v>
      </c>
      <c r="I60" s="26" t="s">
        <v>392</v>
      </c>
      <c r="J60" s="26" t="s">
        <v>393</v>
      </c>
      <c r="K60" s="51"/>
      <c r="L60" s="51"/>
      <c r="M60" s="51"/>
    </row>
    <row r="61" spans="1:13" ht="27" customHeight="1">
      <c r="A61" s="56" t="s">
        <v>864</v>
      </c>
      <c r="B61" s="45" t="s">
        <v>386</v>
      </c>
      <c r="C61" s="41" t="s">
        <v>865</v>
      </c>
      <c r="D61" s="29" t="str">
        <f>IF(MID(HEX2BIN(MID($C61,4,1),8),6,1)="1","No","Yes")</f>
        <v>Yes</v>
      </c>
      <c r="E61" s="29" t="str">
        <f>IF(MID(HEX2BIN(MID($C61,4,1),8),7,1)="1","No","Yes")</f>
        <v>No</v>
      </c>
      <c r="F61" s="29" t="str">
        <f>IF(MID(HEX2BIN(MID($C61,4,1),8),8,1)="1","No","Yes")</f>
        <v>No</v>
      </c>
      <c r="G61" s="40">
        <f>HEX2DEC(MID(C61,5,2))/4</f>
        <v>2</v>
      </c>
      <c r="H61" s="29" t="str">
        <f>IF(MID(HEX2BIN(MID($C61,8,1),8),6,1)="1","No","Yes")</f>
        <v>Yes</v>
      </c>
      <c r="I61" s="29" t="str">
        <f>IF(MID(HEX2BIN(MID($C61,8,1),8),7,1)="1","No","Yes")</f>
        <v>Yes</v>
      </c>
      <c r="J61" s="29" t="str">
        <f>IF(MID(HEX2BIN(MID($C61,8,1),8),8,1)="1","No","Yes")</f>
        <v>No</v>
      </c>
      <c r="K61" s="51"/>
      <c r="L61" s="51"/>
      <c r="M61" s="51"/>
    </row>
    <row r="62" spans="1:13" ht="27" customHeight="1">
      <c r="A62" s="56" t="s">
        <v>866</v>
      </c>
      <c r="B62" s="44" t="s">
        <v>394</v>
      </c>
      <c r="C62" s="26" t="s">
        <v>867</v>
      </c>
      <c r="D62" s="26" t="s">
        <v>395</v>
      </c>
      <c r="E62" s="26" t="s">
        <v>396</v>
      </c>
      <c r="F62" s="26" t="s">
        <v>397</v>
      </c>
      <c r="G62" s="26" t="s">
        <v>398</v>
      </c>
      <c r="H62" s="26" t="s">
        <v>399</v>
      </c>
      <c r="I62" s="51"/>
      <c r="J62" s="51"/>
      <c r="K62" s="51"/>
      <c r="L62" s="51"/>
      <c r="M62" s="51"/>
    </row>
    <row r="63" spans="1:13" ht="27" customHeight="1">
      <c r="A63" s="56" t="s">
        <v>868</v>
      </c>
      <c r="B63" s="45" t="s">
        <v>394</v>
      </c>
      <c r="C63" t="s">
        <v>869</v>
      </c>
      <c r="D63" s="29" t="str">
        <f>IF(MID(HEX2BIN(MID($C63,4,1),8),6,1)="1","No","Yes")</f>
        <v>Yes</v>
      </c>
      <c r="E63" s="29" t="str">
        <f>IF(MID(HEX2BIN(MID($C63,4,1),8),7,1)="1","No","Yes")</f>
        <v>No</v>
      </c>
      <c r="F63" s="29" t="str">
        <f>IF(MID(HEX2BIN(MID($C63,4,1),8),8,1)="1","No","Yes")</f>
        <v>Yes</v>
      </c>
      <c r="G63" s="29">
        <f>HEX2DEC(MID($C63,5,2))</f>
        <v>10</v>
      </c>
      <c r="H63" s="29">
        <f>HEX2DEC(MID($C63,7,2))</f>
        <v>0</v>
      </c>
      <c r="I63" s="51"/>
      <c r="J63" s="51"/>
      <c r="K63" s="51"/>
      <c r="L63" s="51"/>
      <c r="M63" s="51"/>
    </row>
    <row r="64" spans="1:13" ht="27" customHeight="1">
      <c r="A64" s="56" t="s">
        <v>870</v>
      </c>
      <c r="B64" s="44" t="s">
        <v>871</v>
      </c>
      <c r="C64" s="26" t="s">
        <v>872</v>
      </c>
      <c r="D64" s="51"/>
      <c r="E64" s="51"/>
      <c r="F64" s="51"/>
      <c r="G64" s="51"/>
      <c r="H64" s="51"/>
      <c r="I64" s="51"/>
      <c r="J64" s="51"/>
      <c r="K64" s="51"/>
      <c r="L64" s="51"/>
      <c r="M64" s="51"/>
    </row>
    <row r="65" spans="1:13" ht="27" customHeight="1">
      <c r="A65" s="56" t="s">
        <v>873</v>
      </c>
      <c r="B65" s="45" t="s">
        <v>871</v>
      </c>
      <c r="C65" s="41" t="s">
        <v>703</v>
      </c>
      <c r="D65" s="51"/>
      <c r="E65" s="51"/>
      <c r="F65" s="51"/>
      <c r="G65" s="51"/>
      <c r="H65" s="51"/>
      <c r="I65" s="51"/>
      <c r="J65" s="51"/>
      <c r="K65" s="51"/>
      <c r="L65" s="51"/>
      <c r="M65" s="51"/>
    </row>
    <row r="66" spans="1:13" ht="27" customHeight="1">
      <c r="A66" s="56" t="s">
        <v>874</v>
      </c>
      <c r="B66" s="44" t="s">
        <v>551</v>
      </c>
      <c r="C66" s="26" t="s">
        <v>875</v>
      </c>
      <c r="D66" s="26" t="s">
        <v>876</v>
      </c>
      <c r="E66" s="26" t="s">
        <v>877</v>
      </c>
      <c r="F66" s="26" t="s">
        <v>878</v>
      </c>
      <c r="G66" s="26" t="s">
        <v>330</v>
      </c>
      <c r="H66" s="51"/>
      <c r="I66" s="51"/>
      <c r="J66" s="51"/>
      <c r="K66" s="51"/>
      <c r="L66" s="51"/>
      <c r="M66" s="51"/>
    </row>
    <row r="67" spans="1:13" ht="27" customHeight="1">
      <c r="A67" s="56" t="s">
        <v>879</v>
      </c>
      <c r="B67" s="45" t="s">
        <v>551</v>
      </c>
      <c r="C67" s="41" t="s">
        <v>880</v>
      </c>
      <c r="D67" s="29" t="str">
        <f>IF(MID(HEX2BIN(MID($C67,4,1),8),8,1)="1","Enabled","Disabled")</f>
        <v>Disabled</v>
      </c>
      <c r="E67" s="32" t="str">
        <f>"+/-"&amp;2^(HEX2DEC(MID($C67,5,2)+1))&amp;"g"</f>
        <v>+/-4g</v>
      </c>
      <c r="F67" s="29">
        <f>HEX2DEC(MID($C67,7,2))</f>
        <v>2</v>
      </c>
      <c r="G67" s="29">
        <f>HEX2DEC(MID($C67,9,2))</f>
        <v>3</v>
      </c>
      <c r="H67" s="51"/>
      <c r="I67" s="51"/>
      <c r="J67" s="51"/>
      <c r="K67" s="51"/>
      <c r="L67" s="51"/>
      <c r="M67" s="51"/>
    </row>
    <row r="68" spans="1:13" ht="27" customHeight="1">
      <c r="A68" s="56" t="s">
        <v>881</v>
      </c>
      <c r="B68" s="44" t="s">
        <v>92</v>
      </c>
      <c r="C68" s="26" t="s">
        <v>882</v>
      </c>
      <c r="D68" s="26" t="s">
        <v>318</v>
      </c>
      <c r="E68" s="26" t="s">
        <v>355</v>
      </c>
      <c r="F68" s="26" t="s">
        <v>319</v>
      </c>
      <c r="G68" s="26" t="s">
        <v>320</v>
      </c>
      <c r="H68" s="26" t="s">
        <v>358</v>
      </c>
      <c r="I68" s="26" t="s">
        <v>356</v>
      </c>
      <c r="J68" s="26" t="s">
        <v>357</v>
      </c>
      <c r="K68" s="51"/>
      <c r="L68" s="51"/>
      <c r="M68" s="51"/>
    </row>
    <row r="69" spans="1:13" ht="27" customHeight="1">
      <c r="A69" s="56" t="s">
        <v>883</v>
      </c>
      <c r="B69" s="45" t="s">
        <v>92</v>
      </c>
      <c r="C69" s="41" t="s">
        <v>884</v>
      </c>
      <c r="D69" s="29" t="str">
        <f>IF(MID(C69,3,2)="00","Threshold","Report on Change")</f>
        <v>Report on Change</v>
      </c>
      <c r="E69" s="29" t="str">
        <f>IF(MID(C69,5,2)="00","No","Yes")</f>
        <v>Yes</v>
      </c>
      <c r="F69" s="29" t="str">
        <f>IF(E69="No","",IF(LEFT(HEX2BIN(MID(C69,5,1),4),1)="1","Minutes","Hours"))</f>
        <v>Minutes</v>
      </c>
      <c r="G69" s="29">
        <f>IF(E69="No","",BIN2DEC(RIGHT(HEX2BIN(MID(C69,5,2),8),7)))</f>
        <v>10</v>
      </c>
      <c r="H69" s="29">
        <f>HEX2DEC(MID($C69,7,2))</f>
        <v>2</v>
      </c>
      <c r="I69" s="29">
        <f>IF(HEX2DEC(MID($C69,9,1))&gt;7,HEX2DEC(MID($C69,9,2))-256,HEX2DEC(MID($C69,9,2)))</f>
        <v>10</v>
      </c>
      <c r="J69" s="29">
        <f>IF(HEX2DEC(MID($C69,11,1))&gt;7,HEX2DEC(MID($C69,11,2))-256,HEX2DEC(MID($C69,11,2)))</f>
        <v>10</v>
      </c>
      <c r="K69" s="51"/>
      <c r="L69" s="51"/>
      <c r="M69" s="51"/>
    </row>
    <row r="70" spans="1:13" ht="27" customHeight="1">
      <c r="A70" s="56" t="s">
        <v>885</v>
      </c>
      <c r="B70" s="44" t="s">
        <v>95</v>
      </c>
      <c r="C70" s="26" t="s">
        <v>886</v>
      </c>
      <c r="D70" s="26" t="s">
        <v>318</v>
      </c>
      <c r="E70" s="26" t="s">
        <v>355</v>
      </c>
      <c r="F70" s="26" t="s">
        <v>319</v>
      </c>
      <c r="G70" s="26" t="s">
        <v>320</v>
      </c>
      <c r="H70" s="26" t="s">
        <v>358</v>
      </c>
      <c r="I70" s="26" t="s">
        <v>356</v>
      </c>
      <c r="J70" s="26" t="s">
        <v>357</v>
      </c>
      <c r="K70" s="51"/>
      <c r="L70" s="51"/>
      <c r="M70" s="51"/>
    </row>
    <row r="71" spans="1:13" ht="27" customHeight="1">
      <c r="A71" s="56" t="s">
        <v>887</v>
      </c>
      <c r="B71" s="45" t="s">
        <v>95</v>
      </c>
      <c r="C71" s="41" t="s">
        <v>888</v>
      </c>
      <c r="D71" s="29" t="str">
        <f>IF(MID(C71,3,2)="00","Threshold","Report on Change")</f>
        <v>Threshold</v>
      </c>
      <c r="E71" s="29" t="str">
        <f>IF(MID(C71,5,2)="00","No","Yes")</f>
        <v>Yes</v>
      </c>
      <c r="F71" s="29" t="str">
        <f>IF(E71="No","",IF(LEFT(HEX2BIN(MID(C71,5,1),4),1)="1","Minutes","Hours"))</f>
        <v>Minutes</v>
      </c>
      <c r="G71" s="29">
        <f>IF(E71="No","",BIN2DEC(RIGHT(HEX2BIN(MID(C71,5,2),8),7)))</f>
        <v>15</v>
      </c>
      <c r="H71" s="29">
        <f>HEX2DEC(MID($C71,7,2))</f>
        <v>5</v>
      </c>
      <c r="I71" s="29">
        <f>IF(HEX2DEC(MID($C71,9,1))&gt;7,HEX2DEC(MID($C71,9,2))-256,HEX2DEC(MID($C71,9,2)))</f>
        <v>10</v>
      </c>
      <c r="J71" s="29">
        <f>IF(HEX2DEC(MID($C71,11,1))&gt;7,HEX2DEC(MID($C71,11,2))-256,HEX2DEC(MID($C71,11,2)))</f>
        <v>40</v>
      </c>
      <c r="K71" s="51"/>
      <c r="L71" s="51"/>
      <c r="M71" s="51"/>
    </row>
    <row r="72" spans="1:13" ht="51.75">
      <c r="A72" s="56" t="s">
        <v>889</v>
      </c>
      <c r="B72" s="44" t="s">
        <v>98</v>
      </c>
      <c r="C72" s="26" t="s">
        <v>890</v>
      </c>
      <c r="D72" s="26" t="s">
        <v>405</v>
      </c>
      <c r="E72" s="26" t="s">
        <v>318</v>
      </c>
      <c r="F72" s="26" t="s">
        <v>355</v>
      </c>
      <c r="G72" s="26" t="s">
        <v>319</v>
      </c>
      <c r="H72" s="26" t="s">
        <v>320</v>
      </c>
      <c r="I72" s="26" t="s">
        <v>321</v>
      </c>
      <c r="J72" s="26" t="s">
        <v>356</v>
      </c>
      <c r="K72" s="26" t="s">
        <v>357</v>
      </c>
      <c r="L72" s="51"/>
      <c r="M72" s="51"/>
    </row>
    <row r="73" spans="1:13">
      <c r="A73" s="56" t="s">
        <v>891</v>
      </c>
      <c r="B73" s="45" t="s">
        <v>98</v>
      </c>
      <c r="C73" s="41" t="s">
        <v>892</v>
      </c>
      <c r="D73" s="29" t="str">
        <f>LOOKUP(HEX2BIN(MID($C73,3,1),4),Tables!K2:K11,Tables!J2:J11)</f>
        <v>B</v>
      </c>
      <c r="E73" s="29" t="str">
        <f>IF(MID(C73,4,1)="0","Threshold","Report on Change")</f>
        <v>Report on Change</v>
      </c>
      <c r="F73" s="29" t="str">
        <f>IF(MID(C73,5,2)="00","No","Yes")</f>
        <v>Yes</v>
      </c>
      <c r="G73" s="29" t="str">
        <f>IF(F73="No","",IF(LEFT(HEX2BIN(MID(C73,5,1),4),1)="1","Minutes","Hours"))</f>
        <v>Minutes</v>
      </c>
      <c r="H73" s="29">
        <f>IF(F73="No","",BIN2DEC(RIGHT(HEX2BIN(MID(C73,5,2),8),7)))</f>
        <v>15</v>
      </c>
      <c r="I73" s="29">
        <f>HEX2DEC(MID($C73,7,2))</f>
        <v>5</v>
      </c>
      <c r="J73" s="29">
        <f>IF(HEX2DEC(MID($C73,9,1))&gt;7,HEX2DEC(MID($C73,9,4))-65536,HEX2DEC(MID($C73,9,4)))/16</f>
        <v>40</v>
      </c>
      <c r="K73" s="29">
        <f>IF(HEX2DEC(MID($C73,13,1))&gt;7,HEX2DEC(MID($C73,13,4))-65536,HEX2DEC(MID($C73,13,4)))/16</f>
        <v>10</v>
      </c>
      <c r="L73" s="51"/>
      <c r="M73" s="51"/>
    </row>
    <row r="74" spans="1:13" ht="51.75">
      <c r="A74" s="56" t="s">
        <v>893</v>
      </c>
      <c r="B74" s="44" t="s">
        <v>110</v>
      </c>
      <c r="C74" s="26" t="s">
        <v>894</v>
      </c>
      <c r="D74" s="26" t="s">
        <v>409</v>
      </c>
      <c r="E74" s="26" t="s">
        <v>410</v>
      </c>
      <c r="F74" s="26" t="s">
        <v>411</v>
      </c>
      <c r="G74" s="26" t="s">
        <v>412</v>
      </c>
      <c r="H74" s="26" t="s">
        <v>413</v>
      </c>
      <c r="I74" s="26" t="s">
        <v>414</v>
      </c>
      <c r="J74" s="26" t="s">
        <v>415</v>
      </c>
      <c r="K74" s="26" t="s">
        <v>416</v>
      </c>
      <c r="L74" s="26" t="s">
        <v>417</v>
      </c>
      <c r="M74" s="26" t="s">
        <v>418</v>
      </c>
    </row>
    <row r="75" spans="1:13">
      <c r="A75" s="56" t="s">
        <v>895</v>
      </c>
      <c r="B75" s="45" t="s">
        <v>110</v>
      </c>
      <c r="C75" s="41" t="s">
        <v>896</v>
      </c>
      <c r="D75" s="29" t="str">
        <f>IF(MID(HEX2BIN(MID($C75,4,1),8),5,1)="1","No","Yes")</f>
        <v>No</v>
      </c>
      <c r="E75" s="29" t="str">
        <f>IF(MID(HEX2BIN(MID($C75,4,1),8),6,1)="1","No","Yes")</f>
        <v>Yes</v>
      </c>
      <c r="F75" s="29" t="str">
        <f>IF(MID(HEX2BIN(MID($C75,4,1),8),7,1)="1","No","Yes")</f>
        <v>Yes</v>
      </c>
      <c r="G75" s="29" t="str">
        <f>IF(MID(HEX2BIN(MID($C75,4,1),8),8,1)="1","No","Yes")</f>
        <v>Yes</v>
      </c>
      <c r="H75" s="29">
        <f>HEX2DEC(MID($C75,5,2))</f>
        <v>55</v>
      </c>
      <c r="I75" s="29">
        <f>HEX2DEC(MID($C75,7,2))</f>
        <v>35</v>
      </c>
      <c r="J75" s="29">
        <f>HEX2DEC(MID($C75,9,2))/4</f>
        <v>0.25</v>
      </c>
      <c r="K75" s="29">
        <f>HEX2DEC(MID($C75,11,2))/4</f>
        <v>0.5</v>
      </c>
      <c r="L75" s="29">
        <f>HEX2DEC(MID($C75,13,2))</f>
        <v>7</v>
      </c>
      <c r="M75" s="29">
        <f>HEX2DEC(MID($C75,15,2))</f>
        <v>8</v>
      </c>
    </row>
    <row r="76" spans="1:13" ht="26.25">
      <c r="A76" s="56" t="s">
        <v>897</v>
      </c>
      <c r="B76" s="44" t="s">
        <v>560</v>
      </c>
      <c r="C76" s="26" t="s">
        <v>898</v>
      </c>
      <c r="D76" s="26" t="s">
        <v>809</v>
      </c>
      <c r="E76" s="26" t="s">
        <v>899</v>
      </c>
      <c r="F76" s="26" t="s">
        <v>900</v>
      </c>
      <c r="G76" s="51"/>
      <c r="H76" s="51"/>
      <c r="I76" s="51"/>
      <c r="J76" s="51"/>
      <c r="K76" s="51"/>
      <c r="L76" s="51"/>
      <c r="M76" s="51"/>
    </row>
    <row r="77" spans="1:13" ht="26.25">
      <c r="A77" s="56" t="s">
        <v>901</v>
      </c>
      <c r="B77" s="45" t="s">
        <v>560</v>
      </c>
      <c r="C77" s="41" t="s">
        <v>902</v>
      </c>
      <c r="D77" s="29" t="str">
        <f>IF(MID(HEX2BIN(MID($C77,4,1),8),8,1)="1","Enabled","Disabled")</f>
        <v>Enabled</v>
      </c>
      <c r="E77" s="29">
        <f>HEX2DEC(MID($C77,5,4))</f>
        <v>5</v>
      </c>
      <c r="F77" s="29">
        <f>HEX2DEC(MID($C77,9,4))</f>
        <v>7</v>
      </c>
      <c r="G77" s="51"/>
      <c r="H77" s="51"/>
      <c r="I77" s="51"/>
      <c r="J77" s="51"/>
      <c r="K77" s="51"/>
      <c r="L77" s="51"/>
      <c r="M77" s="51"/>
    </row>
    <row r="78" spans="1:13" ht="26.25">
      <c r="A78" s="56" t="s">
        <v>903</v>
      </c>
      <c r="B78" s="44" t="s">
        <v>556</v>
      </c>
      <c r="C78" s="26" t="s">
        <v>904</v>
      </c>
      <c r="D78" s="26" t="s">
        <v>814</v>
      </c>
      <c r="E78" s="26" t="s">
        <v>905</v>
      </c>
      <c r="F78" s="26" t="s">
        <v>906</v>
      </c>
      <c r="G78" s="26" t="s">
        <v>907</v>
      </c>
      <c r="H78" s="51"/>
      <c r="I78" s="51"/>
      <c r="J78" s="51"/>
      <c r="K78" s="51"/>
      <c r="L78" s="51"/>
      <c r="M78" s="51"/>
    </row>
    <row r="79" spans="1:13" ht="26.25">
      <c r="A79" s="56" t="s">
        <v>908</v>
      </c>
      <c r="B79" s="45" t="s">
        <v>556</v>
      </c>
      <c r="C79" s="41" t="s">
        <v>909</v>
      </c>
      <c r="D79" s="29" t="str">
        <f>IF(MID(HEX2BIN(MID($C79,4,1),8),8,1)="1","Enabled","Disabled")</f>
        <v>Enabled</v>
      </c>
      <c r="E79" s="29">
        <f>HEX2DEC(MID($C79,5,4))</f>
        <v>1</v>
      </c>
      <c r="F79" s="29">
        <f>HEX2DEC(MID($C79,9,4))</f>
        <v>2</v>
      </c>
      <c r="G79" s="29">
        <f>HEX2DEC(MID($C79,13,4))</f>
        <v>3</v>
      </c>
      <c r="H79" s="51"/>
      <c r="I79" s="51"/>
      <c r="J79" s="51"/>
      <c r="K79" s="51"/>
      <c r="L79" s="51"/>
      <c r="M79" s="51"/>
    </row>
    <row r="80" spans="1:13" ht="39">
      <c r="A80" s="56" t="s">
        <v>910</v>
      </c>
      <c r="B80" s="44" t="s">
        <v>118</v>
      </c>
      <c r="C80" s="26" t="s">
        <v>911</v>
      </c>
      <c r="D80" s="26" t="s">
        <v>318</v>
      </c>
      <c r="E80" s="26" t="s">
        <v>355</v>
      </c>
      <c r="F80" s="26" t="s">
        <v>319</v>
      </c>
      <c r="G80" s="26" t="s">
        <v>320</v>
      </c>
      <c r="H80" s="26" t="s">
        <v>421</v>
      </c>
      <c r="I80" s="26" t="s">
        <v>422</v>
      </c>
      <c r="J80" s="26" t="s">
        <v>423</v>
      </c>
      <c r="K80" s="51"/>
      <c r="L80" s="51"/>
      <c r="M80" s="51"/>
    </row>
    <row r="81" spans="1:13">
      <c r="A81" s="56" t="s">
        <v>912</v>
      </c>
      <c r="B81" s="45" t="s">
        <v>118</v>
      </c>
      <c r="C81" s="41" t="s">
        <v>913</v>
      </c>
      <c r="D81" s="29" t="str">
        <f>IF(MID(C81,3,2)="00","Threshold","Report on Change")</f>
        <v>Threshold</v>
      </c>
      <c r="E81" s="29" t="str">
        <f>IF(MID(C81,5,2)="00","No","Yes")</f>
        <v>Yes</v>
      </c>
      <c r="F81" s="29" t="str">
        <f>IF(E81="No","",IF(LEFT(HEX2BIN(MID(C81,5,1),4),1)="1","Minutes","Hours"))</f>
        <v>Minutes</v>
      </c>
      <c r="G81" s="29">
        <f>IF(E81="No","",BIN2DEC(RIGHT(HEX2BIN(MID(C81,5,2),8),7)))</f>
        <v>20</v>
      </c>
      <c r="H81" s="29">
        <f>HEX2DEC(MID($C81,7,2))/100</f>
        <v>0.1</v>
      </c>
      <c r="I81" s="29">
        <f>HEX2DEC(MID($C81,9,4))/100</f>
        <v>10</v>
      </c>
      <c r="J81" s="29">
        <f>HEX2DEC(MID($C81,13,4))/100</f>
        <v>12</v>
      </c>
      <c r="K81" s="51"/>
      <c r="L81" s="51"/>
      <c r="M81" s="51"/>
    </row>
    <row r="82" spans="1:13">
      <c r="A82" s="56" t="s">
        <v>914</v>
      </c>
      <c r="B82" s="44" t="s">
        <v>121</v>
      </c>
      <c r="C82" s="26" t="s">
        <v>915</v>
      </c>
      <c r="D82" s="26" t="s">
        <v>364</v>
      </c>
      <c r="E82" s="26" t="s">
        <v>326</v>
      </c>
      <c r="F82" s="26" t="s">
        <v>321</v>
      </c>
      <c r="G82" s="51"/>
      <c r="H82" s="51"/>
      <c r="I82" s="51"/>
      <c r="J82" s="51"/>
      <c r="K82" s="51"/>
    </row>
    <row r="83" spans="1:13">
      <c r="A83" s="56" t="s">
        <v>916</v>
      </c>
      <c r="B83" s="45" t="s">
        <v>121</v>
      </c>
      <c r="C83" s="41" t="s">
        <v>917</v>
      </c>
      <c r="D83" s="29" t="str">
        <f>IF(MID($C83,3,2)="00","Yes","No")</f>
        <v>Yes</v>
      </c>
      <c r="E83" s="29">
        <f>HEX2DEC(MID($C83,5,2))</f>
        <v>105</v>
      </c>
      <c r="F83" s="29">
        <f>HEX2DEC(MID($C83,7,2))</f>
        <v>1</v>
      </c>
      <c r="G83" s="51"/>
      <c r="H83" s="51"/>
      <c r="I83" s="51"/>
      <c r="J83" s="51"/>
      <c r="K83" s="51"/>
    </row>
    <row r="84" spans="1:13">
      <c r="C84" s="34"/>
    </row>
    <row r="85" spans="1:13">
      <c r="C85" s="34"/>
    </row>
    <row r="86" spans="1:13">
      <c r="C86" s="34"/>
    </row>
    <row r="87" spans="1:13">
      <c r="C87" s="34"/>
    </row>
    <row r="88" spans="1:13">
      <c r="C88" s="34"/>
    </row>
    <row r="89" spans="1:13">
      <c r="C89" s="34"/>
    </row>
    <row r="90" spans="1:13">
      <c r="C90" s="34"/>
    </row>
    <row r="91" spans="1:13">
      <c r="C91" s="34"/>
    </row>
  </sheetData>
  <autoFilter ref="A1:M91" xr:uid="{0C752629-EE45-4AD7-9220-3E9BF1E5883F}">
    <sortState xmlns:xlrd2="http://schemas.microsoft.com/office/spreadsheetml/2017/richdata2" ref="A2:M91">
      <sortCondition ref="B1:B91"/>
    </sortState>
  </autoFilter>
  <phoneticPr fontId="1" type="noConversion"/>
  <conditionalFormatting sqref="C82:K83">
    <cfRule type="containsBlanks" dxfId="1" priority="1">
      <formula>LEN(TRIM(C82))=0</formula>
    </cfRule>
  </conditionalFormatting>
  <conditionalFormatting sqref="C2:M8 D9:M9 C10:M18 D19:M19 C20:M32 D33:M33 C34:M62 D63:M63 C64:M81">
    <cfRule type="containsBlanks" dxfId="0" priority="7">
      <formula>LEN(TRIM(C2))=0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D16B-0650-4D79-9C3E-C42C34B06572}">
  <sheetPr codeName="Sheet3"/>
  <dimension ref="A1:J38"/>
  <sheetViews>
    <sheetView zoomScale="85" zoomScaleNormal="85" workbookViewId="0">
      <selection activeCell="B2" sqref="B2"/>
    </sheetView>
  </sheetViews>
  <sheetFormatPr defaultColWidth="31.42578125" defaultRowHeight="15"/>
  <cols>
    <col min="1" max="1" width="17.28515625" bestFit="1" customWidth="1"/>
    <col min="2" max="2" width="21" bestFit="1" customWidth="1"/>
    <col min="3" max="3" width="43.7109375" customWidth="1"/>
    <col min="4" max="4" width="50.140625" customWidth="1"/>
    <col min="5" max="5" width="30.28515625" bestFit="1" customWidth="1"/>
    <col min="6" max="6" width="28.140625" bestFit="1" customWidth="1"/>
    <col min="7" max="7" width="25.85546875" bestFit="1" customWidth="1"/>
    <col min="8" max="8" width="21.85546875" bestFit="1" customWidth="1"/>
    <col min="9" max="9" width="23.28515625" customWidth="1"/>
    <col min="10" max="10" width="14.5703125" bestFit="1" customWidth="1"/>
  </cols>
  <sheetData>
    <row r="1" spans="1:10">
      <c r="A1" s="4"/>
      <c r="B1" s="4" t="s">
        <v>918</v>
      </c>
      <c r="C1" s="4" t="s">
        <v>7</v>
      </c>
      <c r="D1" s="4" t="s">
        <v>128</v>
      </c>
      <c r="E1" s="4" t="s">
        <v>130</v>
      </c>
      <c r="F1" s="4" t="s">
        <v>132</v>
      </c>
      <c r="G1" s="4" t="s">
        <v>134</v>
      </c>
      <c r="H1" s="4" t="s">
        <v>136</v>
      </c>
      <c r="I1" s="4" t="s">
        <v>138</v>
      </c>
      <c r="J1" s="4" t="s">
        <v>140</v>
      </c>
    </row>
    <row r="2" spans="1:10">
      <c r="A2" s="4" t="s">
        <v>919</v>
      </c>
      <c r="B2" s="2" t="s">
        <v>920</v>
      </c>
      <c r="C2" s="7" t="str">
        <f>MID($B$2,1,2)</f>
        <v>13</v>
      </c>
      <c r="D2" s="7" t="str">
        <f>MID($B$2,3,VLOOKUP($C$2,DLMessages[#All],4,0)/4)</f>
        <v>30</v>
      </c>
      <c r="E2" s="7" t="str">
        <f>MID($B$2,5,VLOOKUP($C$2,DLMessages[#All],6,0)/4)</f>
        <v>8C</v>
      </c>
      <c r="F2" s="7" t="str">
        <f>MID($B$2,5+LEN(E2),VLOOKUP($C$2,DLMessages[#All],8,0)/4)</f>
        <v>05</v>
      </c>
      <c r="G2" s="7" t="str">
        <f>MID($B$2,5+LEN(E2)+LEN(F2),VLOOKUP($C$2,DLMessages[#All],10,0)/4)</f>
        <v>FF00</v>
      </c>
      <c r="H2" s="7" t="str">
        <f>MID($B$2,5+LEN(E2)+LEN(F2)+LEN(G2),VLOOKUP($C$2,DLMessages[#All],12,0)/4)</f>
        <v>0FA0</v>
      </c>
      <c r="I2" s="7" t="str">
        <f>MID($B$2,5+LEN(E2)+LEN(F2)+LEN(G2)+LEN(H2),VLOOKUP($C$2,DLMessages[#All],14,0)/4)</f>
        <v/>
      </c>
      <c r="J2" s="7" t="str">
        <f>MID($B$2,5+LEN(E2)+LEN(F2)+LEN(G2)+LEN(H2)+LEN(I2),VLOOKUP($C$2,DLMessages[#All],16,0)/4)</f>
        <v/>
      </c>
    </row>
    <row r="3" spans="1:10" s="3" customFormat="1" ht="111.75" customHeight="1">
      <c r="A3" s="14" t="s">
        <v>921</v>
      </c>
      <c r="B3" s="15"/>
      <c r="C3" s="18" t="str">
        <f>VLOOKUP($C$2,DLMessages[],3,0)</f>
        <v>Thermocouple Temperature Sensor Configuration</v>
      </c>
      <c r="D3" s="18" t="str">
        <f>VLOOKUP($C$2,DLMessages[],5,0)</f>
        <v>Reporting mode 
Bits 7-5 unused 
bits 4-1(0000 B Type, 0001 E Type, 0010 J Type, 0011 K Type, 0100 N Type, 0101 R Type, 0110 S Type, 0111 T Type, 1000 Voltage mode Gain=8, Code=8x1.6x217xVIN, 1100 Voltage mode Gain=32, Code=32x1.6x217xVIN) 
bit 0 (0 Threshold, 1 Report on change)</v>
      </c>
      <c r="E3" s="18" t="str">
        <f>VLOOKUP($C$2,DLMessages[],7,0)</f>
        <v>Periodic reporting bits(7 {Hrs 0, Min 1}, 6-0 Value from 1-127) Value of 0 disables.</v>
      </c>
      <c r="F3" s="18" t="str">
        <f>VLOOKUP($C$2,DLMessages[],9,0)</f>
        <v>Restoral margin (Threshold mode only) 1-255  with 0 disables.</v>
      </c>
      <c r="G3" s="18" t="str">
        <f>VLOOKUP($C$2,DLMessages[],11,0)</f>
        <v>Upper temperature threshold. Default 90 degrees C (Threshold Mode). Temperature increase (Report on Change Mode)</v>
      </c>
      <c r="H3" s="18" t="str">
        <f>VLOOKUP($C$2,DLMessages[],13,0)</f>
        <v>Lower temperature threshold. Default 90 degrees C (Threshold Mode). Temperature decrease (Report on Change Mode)</v>
      </c>
      <c r="I3" s="18">
        <f>VLOOKUP($C$2,DLMessages[],15,0)</f>
        <v>0</v>
      </c>
      <c r="J3" s="18">
        <f>VLOOKUP($C$2,DLMessages[],17,0)</f>
        <v>0</v>
      </c>
    </row>
    <row r="4" spans="1:10">
      <c r="D4" s="7" t="str">
        <f>"Hex2Dec "&amp;HEX2DEC(D2)</f>
        <v>Hex2Dec 48</v>
      </c>
      <c r="E4" s="7" t="str">
        <f>"Hex2Dec "&amp;HEX2DEC(E2)</f>
        <v>Hex2Dec 140</v>
      </c>
      <c r="F4" s="7" t="str">
        <f>"Hex2Dec "&amp;HEX2DEC(F2)</f>
        <v>Hex2Dec 5</v>
      </c>
      <c r="G4" s="7" t="str">
        <f t="shared" ref="G4:J4" si="0">"Hex2Dec "&amp;HEX2DEC(G2)</f>
        <v>Hex2Dec 65280</v>
      </c>
      <c r="H4" s="7" t="str">
        <f t="shared" si="0"/>
        <v>Hex2Dec 4000</v>
      </c>
      <c r="I4" s="7" t="str">
        <f t="shared" si="0"/>
        <v>Hex2Dec 0</v>
      </c>
      <c r="J4" s="7" t="str">
        <f t="shared" si="0"/>
        <v>Hex2Dec 0</v>
      </c>
    </row>
    <row r="5" spans="1:10">
      <c r="D5" s="8" t="str">
        <f>IF(LEN(D2)=2,HEX2BIN(LEFT(D2,1),4)&amp;HEX2BIN(MID(D2,2,1),4),IF(LEN(D2)=4,HEX2BIN(LEFT(D2,1),4)&amp;HEX2BIN(MID(D2,2,1),4)&amp;HEX2BIN(MID(D2,3,1),4)&amp;HEX2BIN(MID(D2,4,1),4),HEX2BIN(D2)))</f>
        <v>00110000</v>
      </c>
      <c r="E5" s="8" t="str">
        <f>IF(LEN(E2)=2,HEX2BIN(LEFT(E2,1),4)&amp;HEX2BIN(MID(E2,2,1),4),IF(LEN(E2)=4,HEX2BIN(LEFT(E2,1),4)&amp;HEX2BIN(MID(E2,2,1),4)&amp;HEX2BIN(MID(E2,3,1),4)&amp;HEX2BIN(MID(E2,4,1),4),HEX2BIN(E2)))</f>
        <v>10001100</v>
      </c>
      <c r="F5" s="8" t="str">
        <f>IF(LEN(F2)=2,HEX2BIN(LEFT(F2,1),4)&amp;HEX2BIN(MID(F2,2,1),4),IF(LEN(F2)=4,HEX2BIN(LEFT(F2,1),4)&amp;HEX2BIN(MID(F2,2,1),4)&amp;HEX2BIN(MID(F2,3,1),4)&amp;HEX2BIN(MID(F2,4,1),4),HEX2BIN(F2)))</f>
        <v>00000101</v>
      </c>
      <c r="G5" s="8" t="str">
        <f t="shared" ref="G5:J5" si="1">IF(LEN(G2)=2,HEX2BIN(LEFT(G2,1),4)&amp;HEX2BIN(MID(G2,2,1),4),IF(LEN(G2)=4,HEX2BIN(LEFT(G2,1),4)&amp;HEX2BIN(MID(G2,2,1),4)&amp;HEX2BIN(MID(G2,3,1),4)&amp;HEX2BIN(MID(G2,4,1),4),HEX2BIN(G2)))</f>
        <v>1111111100000000</v>
      </c>
      <c r="H5" s="8" t="str">
        <f t="shared" si="1"/>
        <v>0000111110100000</v>
      </c>
      <c r="I5" s="8" t="str">
        <f t="shared" si="1"/>
        <v>0</v>
      </c>
      <c r="J5" s="8" t="str">
        <f t="shared" si="1"/>
        <v>0</v>
      </c>
    </row>
    <row r="6" spans="1:10">
      <c r="D6" s="8" t="str">
        <f>"[1-127] "&amp;IF(LEFT(D5)="1",(BIN2DEC(RIGHT(D5,LEN(D5)-1)))&amp;" Min",(BIN2DEC(RIGHT(D5,LEN(D5)-1)))&amp;" Hrs")</f>
        <v>[1-127] 48 Hrs</v>
      </c>
      <c r="E6" s="8" t="str">
        <f>"[1-127] "&amp;IF(LEFT(E5)="1",(BIN2DEC(RIGHT(E5,LEN(E5)-1)))&amp;" Min",(BIN2DEC(RIGHT(E5,LEN(E5)-1)))&amp;" Hrs")</f>
        <v>[1-127] 12 Min</v>
      </c>
      <c r="F6" s="8" t="str">
        <f>"[1-127] "&amp;IF(LEFT(F5)="1",(BIN2DEC(RIGHT(F5,LEN(F5)-1)))&amp;" Min",(BIN2DEC(RIGHT(F5,LEN(F5)-1)))&amp;" Hrs")</f>
        <v>[1-127] 5 Hrs</v>
      </c>
      <c r="G6" s="8" t="e">
        <f t="shared" ref="G6:J6" si="2">"[1-127] "&amp;IF(LEFT(G5)="1",(BIN2DEC(RIGHT(G5,LEN(G5)-1)))&amp;" Min",(BIN2DEC(RIGHT(G5,LEN(G5)-1)))&amp;" Hrs")</f>
        <v>#NUM!</v>
      </c>
      <c r="H6" s="8" t="e">
        <f t="shared" si="2"/>
        <v>#NUM!</v>
      </c>
      <c r="I6" s="8" t="str">
        <f t="shared" si="2"/>
        <v>[1-127] 0 Hrs</v>
      </c>
      <c r="J6" s="8" t="str">
        <f t="shared" si="2"/>
        <v>[1-127] 0 Hrs</v>
      </c>
    </row>
    <row r="7" spans="1:10">
      <c r="D7" s="8" t="str">
        <f>"[2s Comp] "&amp;IF(LEFT(D5)="1","-"&amp;(255 - BIN2DEC(D5) + 1),BIN2DEC(D5))</f>
        <v>[2s Comp] 48</v>
      </c>
      <c r="E7" s="8" t="str">
        <f>"[2s Comp] "&amp;IF(LEFT(E5)="1","-"&amp;(255 - BIN2DEC(E5) + 1),BIN2DEC(E5))</f>
        <v>[2s Comp] -116</v>
      </c>
      <c r="F7" s="8" t="str">
        <f>"[2s Comp] "&amp;IF(LEFT(F5)="1","-"&amp;(255 - BIN2DEC(F5) + 1),BIN2DEC(F5))</f>
        <v>[2s Comp] 5</v>
      </c>
      <c r="G7" s="8" t="e">
        <f t="shared" ref="G7:J7" si="3">"[2s Comp] "&amp;IF(LEFT(G5)="1","-"&amp;(255 - BIN2DEC(G5) + 1),BIN2DEC(G5))</f>
        <v>#NUM!</v>
      </c>
      <c r="H7" s="8" t="e">
        <f t="shared" si="3"/>
        <v>#NUM!</v>
      </c>
      <c r="I7" s="8" t="str">
        <f t="shared" si="3"/>
        <v>[2s Comp] 0</v>
      </c>
      <c r="J7" s="8" t="str">
        <f t="shared" si="3"/>
        <v>[2s Comp] 0</v>
      </c>
    </row>
    <row r="8" spans="1:10">
      <c r="D8" s="7" t="str">
        <f>"[250mS units] "&amp;HEX2DEC(D2)*250</f>
        <v>[250mS units] 12000</v>
      </c>
      <c r="E8" s="7" t="str">
        <f>"[250mS units] "&amp;HEX2DEC(E2)*250</f>
        <v>[250mS units] 35000</v>
      </c>
      <c r="F8" s="7" t="str">
        <f>"[250mS units] "&amp;HEX2DEC(F2)*250</f>
        <v>[250mS units] 1250</v>
      </c>
      <c r="G8" s="7" t="str">
        <f t="shared" ref="G8:J8" si="4">"[250mS units] "&amp;HEX2DEC(G2)*250</f>
        <v>[250mS units] 16320000</v>
      </c>
      <c r="H8" s="7" t="str">
        <f t="shared" si="4"/>
        <v>[250mS units] 1000000</v>
      </c>
      <c r="I8" s="7" t="str">
        <f t="shared" si="4"/>
        <v>[250mS units] 0</v>
      </c>
      <c r="J8" s="7" t="str">
        <f t="shared" si="4"/>
        <v>[250mS units] 0</v>
      </c>
    </row>
    <row r="9" spans="1:10">
      <c r="G9" s="8" t="e">
        <f>"[1-63] "&amp;IF(LEFT(G5)="1",(BIN2DEC(RIGHT(G5,LEN(G5)-2)))&amp;IF(MID(G5,2,1)="1"," Hrs"," Min"),IF(MID(G5,2,1)="1",(BIN2DEC(RIGHT(G5,LEN(G5)-2)))&amp;" Sec",(BIN2DEC(RIGHT(G5,LEN(G5)-2)))*250&amp;" mS"))</f>
        <v>#NUM!</v>
      </c>
      <c r="H9" s="7" t="str">
        <f>"Thermocouple "&amp;IF(LEFT(H5)="1","-"&amp;(65535 - HEX2DEC(H2) + 1),HEX2DEC(H2))/16</f>
        <v>Thermocouple 250</v>
      </c>
    </row>
    <row r="10" spans="1:10">
      <c r="G10" s="8" t="str">
        <f>"Thermocouple "&amp;IF(LEFT(G5)="1","-"&amp;(65535 - HEX2DEC(G2) + 1),HEX2DEC(G2))/16</f>
        <v>Thermocouple -16</v>
      </c>
    </row>
    <row r="12" spans="1:10">
      <c r="B12" s="2"/>
    </row>
    <row r="13" spans="1:10">
      <c r="B13" s="2"/>
      <c r="D13" s="17"/>
    </row>
    <row r="14" spans="1:10">
      <c r="D14" s="1"/>
    </row>
    <row r="16" spans="1:10">
      <c r="A16" t="s">
        <v>922</v>
      </c>
    </row>
    <row r="17" spans="1:4">
      <c r="A17" t="s">
        <v>126</v>
      </c>
      <c r="B17" t="s">
        <v>127</v>
      </c>
      <c r="C17" t="s">
        <v>923</v>
      </c>
      <c r="D17" t="s">
        <v>924</v>
      </c>
    </row>
    <row r="18" spans="1:4" ht="75">
      <c r="A18" s="20" t="s">
        <v>925</v>
      </c>
      <c r="B18" s="20" t="s">
        <v>338</v>
      </c>
      <c r="C18" s="19" t="s">
        <v>926</v>
      </c>
      <c r="D18" t="s">
        <v>336</v>
      </c>
    </row>
    <row r="19" spans="1:4" ht="90">
      <c r="A19" s="20" t="s">
        <v>927</v>
      </c>
      <c r="B19" s="20" t="s">
        <v>373</v>
      </c>
      <c r="C19" s="21" t="s">
        <v>928</v>
      </c>
    </row>
    <row r="20" spans="1:4" ht="210">
      <c r="A20" s="20" t="s">
        <v>929</v>
      </c>
      <c r="B20" s="20" t="s">
        <v>373</v>
      </c>
      <c r="C20" s="21" t="s">
        <v>930</v>
      </c>
      <c r="D20" t="s">
        <v>336</v>
      </c>
    </row>
    <row r="21" spans="1:4" ht="90">
      <c r="A21" s="20" t="s">
        <v>931</v>
      </c>
      <c r="B21" s="20" t="s">
        <v>121</v>
      </c>
      <c r="C21" s="21" t="s">
        <v>932</v>
      </c>
      <c r="D21" t="s">
        <v>336</v>
      </c>
    </row>
    <row r="22" spans="1:4" ht="150">
      <c r="A22" s="20" t="s">
        <v>933</v>
      </c>
      <c r="B22" s="20" t="s">
        <v>934</v>
      </c>
      <c r="C22" s="21" t="s">
        <v>935</v>
      </c>
      <c r="D22" t="s">
        <v>336</v>
      </c>
    </row>
    <row r="23" spans="1:4" ht="60">
      <c r="A23" s="20" t="s">
        <v>936</v>
      </c>
      <c r="B23" s="20" t="s">
        <v>937</v>
      </c>
      <c r="C23" s="19" t="s">
        <v>938</v>
      </c>
      <c r="D23" t="s">
        <v>336</v>
      </c>
    </row>
    <row r="24" spans="1:4">
      <c r="A24" s="20"/>
      <c r="B24" s="20"/>
      <c r="C24" s="19"/>
    </row>
    <row r="25" spans="1:4" ht="210">
      <c r="A25" s="20" t="s">
        <v>939</v>
      </c>
      <c r="B25" s="20" t="s">
        <v>373</v>
      </c>
      <c r="C25" s="19" t="s">
        <v>940</v>
      </c>
    </row>
    <row r="26" spans="1:4">
      <c r="A26" s="20" t="s">
        <v>941</v>
      </c>
      <c r="B26" s="20" t="s">
        <v>373</v>
      </c>
      <c r="C26" s="19"/>
    </row>
    <row r="27" spans="1:4" ht="75">
      <c r="A27" s="20" t="s">
        <v>942</v>
      </c>
      <c r="B27" s="20" t="s">
        <v>338</v>
      </c>
      <c r="C27" s="19" t="s">
        <v>943</v>
      </c>
    </row>
    <row r="28" spans="1:4" ht="30">
      <c r="A28" s="20" t="s">
        <v>944</v>
      </c>
      <c r="B28" s="20" t="s">
        <v>51</v>
      </c>
      <c r="C28" s="19" t="s">
        <v>945</v>
      </c>
    </row>
    <row r="29" spans="1:4" ht="60">
      <c r="A29" s="20" t="s">
        <v>344</v>
      </c>
      <c r="B29" s="20" t="s">
        <v>338</v>
      </c>
      <c r="C29" s="19" t="s">
        <v>946</v>
      </c>
    </row>
    <row r="30" spans="1:4" ht="90">
      <c r="A30" s="20" t="s">
        <v>947</v>
      </c>
      <c r="B30" s="20" t="s">
        <v>948</v>
      </c>
      <c r="C30" s="19" t="s">
        <v>949</v>
      </c>
    </row>
    <row r="31" spans="1:4" ht="135">
      <c r="A31" s="20" t="s">
        <v>950</v>
      </c>
      <c r="B31" s="20" t="s">
        <v>951</v>
      </c>
      <c r="C31" s="19" t="s">
        <v>952</v>
      </c>
    </row>
    <row r="32" spans="1:4" ht="105">
      <c r="A32" s="20" t="s">
        <v>953</v>
      </c>
      <c r="B32" s="20" t="s">
        <v>934</v>
      </c>
      <c r="C32" s="21" t="s">
        <v>954</v>
      </c>
    </row>
    <row r="33" spans="1:3" ht="90">
      <c r="A33" s="20" t="s">
        <v>955</v>
      </c>
      <c r="B33" s="20" t="s">
        <v>121</v>
      </c>
      <c r="C33" s="19" t="s">
        <v>956</v>
      </c>
    </row>
    <row r="34" spans="1:3" ht="135">
      <c r="A34" s="20" t="s">
        <v>957</v>
      </c>
      <c r="B34" s="20" t="s">
        <v>10</v>
      </c>
      <c r="C34" s="19" t="s">
        <v>958</v>
      </c>
    </row>
    <row r="35" spans="1:3" ht="75">
      <c r="A35" s="20" t="s">
        <v>959</v>
      </c>
      <c r="B35" s="20" t="s">
        <v>960</v>
      </c>
      <c r="C35" s="19" t="s">
        <v>961</v>
      </c>
    </row>
    <row r="36" spans="1:3">
      <c r="A36" s="20" t="s">
        <v>962</v>
      </c>
      <c r="B36" s="20" t="s">
        <v>963</v>
      </c>
      <c r="C36" s="19"/>
    </row>
    <row r="37" spans="1:3">
      <c r="A37" s="20" t="s">
        <v>964</v>
      </c>
      <c r="B37" s="20" t="s">
        <v>778</v>
      </c>
      <c r="C37" s="19"/>
    </row>
    <row r="38" spans="1:3" ht="105">
      <c r="A38" s="20" t="s">
        <v>965</v>
      </c>
      <c r="B38" s="20" t="s">
        <v>118</v>
      </c>
      <c r="C38" s="19" t="s">
        <v>966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C2C9-6ADB-4BBE-80B6-9407ECED1A44}">
  <sheetPr codeName="Sheet4"/>
  <dimension ref="A1:X46"/>
  <sheetViews>
    <sheetView topLeftCell="A26" zoomScaleNormal="100" workbookViewId="0">
      <selection activeCell="C33" sqref="C33"/>
    </sheetView>
  </sheetViews>
  <sheetFormatPr defaultColWidth="9" defaultRowHeight="15"/>
  <cols>
    <col min="1" max="1" width="7.5703125" style="9" bestFit="1" customWidth="1"/>
    <col min="2" max="2" width="8.140625" style="9" hidden="1" customWidth="1"/>
    <col min="3" max="3" width="56.5703125" style="9" bestFit="1" customWidth="1"/>
    <col min="4" max="4" width="7.5703125" style="9" bestFit="1" customWidth="1"/>
    <col min="5" max="5" width="44.28515625" style="9" bestFit="1" customWidth="1"/>
    <col min="6" max="6" width="7.5703125" style="9" bestFit="1" customWidth="1"/>
    <col min="7" max="7" width="40" style="3" customWidth="1"/>
    <col min="8" max="8" width="7.5703125" style="3" bestFit="1" customWidth="1"/>
    <col min="9" max="9" width="30.5703125" style="9" customWidth="1"/>
    <col min="10" max="10" width="7.5703125" style="9" bestFit="1" customWidth="1"/>
    <col min="11" max="11" width="40.42578125" style="9" customWidth="1"/>
    <col min="12" max="12" width="7.5703125" style="9" bestFit="1" customWidth="1"/>
    <col min="13" max="13" width="40.42578125" style="9" customWidth="1"/>
    <col min="14" max="14" width="7.5703125" style="9" bestFit="1" customWidth="1"/>
    <col min="15" max="15" width="31.7109375" style="9" customWidth="1"/>
    <col min="16" max="16" width="7.5703125" style="9" bestFit="1" customWidth="1"/>
    <col min="17" max="17" width="31.7109375" style="9" customWidth="1"/>
    <col min="18" max="24" width="8.28515625" style="9" bestFit="1" customWidth="1"/>
    <col min="25" max="16384" width="9" style="9"/>
  </cols>
  <sheetData>
    <row r="1" spans="1:24">
      <c r="C1" s="9" t="s">
        <v>967</v>
      </c>
    </row>
    <row r="2" spans="1:24">
      <c r="A2" s="9" t="s">
        <v>127</v>
      </c>
      <c r="B2" s="9" t="s">
        <v>968</v>
      </c>
      <c r="C2" s="9" t="s">
        <v>969</v>
      </c>
      <c r="D2" s="9" t="s">
        <v>129</v>
      </c>
      <c r="E2" s="9" t="s">
        <v>128</v>
      </c>
      <c r="F2" s="9" t="s">
        <v>131</v>
      </c>
      <c r="G2" s="9" t="s">
        <v>130</v>
      </c>
      <c r="H2" s="9" t="s">
        <v>133</v>
      </c>
      <c r="I2" s="9" t="s">
        <v>132</v>
      </c>
      <c r="J2" s="9" t="s">
        <v>135</v>
      </c>
      <c r="K2" s="9" t="s">
        <v>134</v>
      </c>
      <c r="L2" s="9" t="s">
        <v>137</v>
      </c>
      <c r="M2" s="9" t="s">
        <v>136</v>
      </c>
      <c r="N2" s="9" t="s">
        <v>139</v>
      </c>
      <c r="O2" s="9" t="s">
        <v>138</v>
      </c>
      <c r="P2" s="9" t="s">
        <v>141</v>
      </c>
      <c r="Q2" s="9" t="s">
        <v>140</v>
      </c>
      <c r="R2" s="9" t="s">
        <v>970</v>
      </c>
      <c r="S2" s="9" t="s">
        <v>971</v>
      </c>
      <c r="T2" s="9" t="s">
        <v>972</v>
      </c>
      <c r="U2" s="9" t="s">
        <v>973</v>
      </c>
      <c r="V2" s="9" t="s">
        <v>974</v>
      </c>
      <c r="W2" s="9" t="s">
        <v>975</v>
      </c>
      <c r="X2" s="9" t="s">
        <v>976</v>
      </c>
    </row>
    <row r="3" spans="1:24" ht="60">
      <c r="A3" s="10" t="s">
        <v>193</v>
      </c>
      <c r="B3" s="9">
        <v>7</v>
      </c>
      <c r="C3" s="9" t="s">
        <v>977</v>
      </c>
      <c r="D3" s="9">
        <v>8</v>
      </c>
      <c r="E3" s="9" t="s">
        <v>978</v>
      </c>
      <c r="F3" s="9">
        <v>8</v>
      </c>
      <c r="G3" s="9" t="s">
        <v>979</v>
      </c>
      <c r="H3" s="9">
        <v>8</v>
      </c>
      <c r="I3" s="9" t="s">
        <v>980</v>
      </c>
      <c r="J3" s="9">
        <v>16</v>
      </c>
      <c r="K3" s="9" t="s">
        <v>981</v>
      </c>
      <c r="L3" s="9">
        <v>16</v>
      </c>
      <c r="M3" s="9" t="s">
        <v>982</v>
      </c>
    </row>
    <row r="4" spans="1:24" ht="45">
      <c r="A4" s="10" t="s">
        <v>182</v>
      </c>
      <c r="B4" s="9">
        <v>4</v>
      </c>
      <c r="C4" s="9" t="s">
        <v>983</v>
      </c>
      <c r="D4" s="9">
        <v>8</v>
      </c>
      <c r="E4" s="9" t="s">
        <v>984</v>
      </c>
      <c r="F4" s="9">
        <v>8</v>
      </c>
      <c r="G4" s="9" t="s">
        <v>985</v>
      </c>
      <c r="H4" s="9">
        <v>8</v>
      </c>
      <c r="I4" s="9" t="s">
        <v>986</v>
      </c>
      <c r="J4" s="9">
        <v>8</v>
      </c>
      <c r="K4" s="9" t="s">
        <v>987</v>
      </c>
    </row>
    <row r="5" spans="1:24" ht="30">
      <c r="A5" s="10" t="s">
        <v>345</v>
      </c>
      <c r="B5" s="9">
        <v>4</v>
      </c>
      <c r="C5" s="9" t="s">
        <v>988</v>
      </c>
      <c r="D5" s="9">
        <v>8</v>
      </c>
      <c r="E5" s="9" t="s">
        <v>989</v>
      </c>
      <c r="F5" s="9">
        <v>8</v>
      </c>
      <c r="G5" s="9" t="s">
        <v>990</v>
      </c>
      <c r="H5" s="9">
        <v>8</v>
      </c>
      <c r="I5" s="9" t="s">
        <v>991</v>
      </c>
      <c r="J5" s="9">
        <v>8</v>
      </c>
      <c r="K5" s="9" t="s">
        <v>992</v>
      </c>
    </row>
    <row r="6" spans="1:24" ht="45">
      <c r="A6" s="10" t="s">
        <v>249</v>
      </c>
      <c r="B6" s="9">
        <v>3</v>
      </c>
      <c r="C6" s="9" t="s">
        <v>993</v>
      </c>
      <c r="D6" s="9">
        <v>8</v>
      </c>
      <c r="E6" s="9" t="s">
        <v>994</v>
      </c>
      <c r="F6" s="9">
        <v>8</v>
      </c>
      <c r="G6" s="9" t="s">
        <v>349</v>
      </c>
      <c r="H6" s="9">
        <v>8</v>
      </c>
      <c r="I6" s="9" t="s">
        <v>995</v>
      </c>
    </row>
    <row r="7" spans="1:24" ht="120">
      <c r="A7" s="10" t="s">
        <v>420</v>
      </c>
      <c r="B7" s="9">
        <v>4</v>
      </c>
      <c r="C7" s="9" t="s">
        <v>725</v>
      </c>
      <c r="D7" s="9">
        <v>8</v>
      </c>
      <c r="E7" s="9" t="s">
        <v>996</v>
      </c>
      <c r="F7" s="9">
        <v>8</v>
      </c>
      <c r="G7" s="9" t="s">
        <v>997</v>
      </c>
      <c r="H7" s="9">
        <v>8</v>
      </c>
      <c r="I7" s="9" t="s">
        <v>998</v>
      </c>
      <c r="J7" s="9">
        <v>8</v>
      </c>
      <c r="K7" s="9" t="s">
        <v>999</v>
      </c>
    </row>
    <row r="8" spans="1:24" ht="75">
      <c r="A8" s="10" t="s">
        <v>424</v>
      </c>
      <c r="B8" s="9">
        <v>7</v>
      </c>
      <c r="C8" s="9" t="s">
        <v>733</v>
      </c>
      <c r="D8" s="9">
        <v>8</v>
      </c>
      <c r="E8" s="9" t="s">
        <v>1000</v>
      </c>
      <c r="F8" s="9">
        <v>8</v>
      </c>
      <c r="G8" s="9" t="s">
        <v>1001</v>
      </c>
      <c r="H8" s="9">
        <v>8</v>
      </c>
      <c r="I8" s="9" t="s">
        <v>1002</v>
      </c>
      <c r="J8" s="9">
        <v>8</v>
      </c>
      <c r="K8" s="9" t="s">
        <v>1003</v>
      </c>
      <c r="L8" s="9">
        <v>8</v>
      </c>
      <c r="M8" s="9" t="s">
        <v>1004</v>
      </c>
      <c r="N8" s="9">
        <v>8</v>
      </c>
      <c r="O8" s="9" t="s">
        <v>1005</v>
      </c>
      <c r="P8" s="9">
        <v>8</v>
      </c>
      <c r="Q8" s="9" t="s">
        <v>1006</v>
      </c>
    </row>
    <row r="9" spans="1:24" ht="45">
      <c r="A9" s="10" t="s">
        <v>228</v>
      </c>
      <c r="B9" s="9">
        <v>4</v>
      </c>
      <c r="C9" s="9" t="s">
        <v>448</v>
      </c>
      <c r="D9" s="9">
        <v>8</v>
      </c>
      <c r="E9" s="9" t="s">
        <v>1007</v>
      </c>
      <c r="F9" s="9">
        <v>8</v>
      </c>
      <c r="G9" s="9" t="s">
        <v>1008</v>
      </c>
      <c r="H9" s="9">
        <v>8</v>
      </c>
      <c r="I9" s="9" t="s">
        <v>1009</v>
      </c>
      <c r="J9" s="9">
        <v>8</v>
      </c>
      <c r="K9" s="9" t="s">
        <v>1010</v>
      </c>
      <c r="L9" s="9">
        <v>8</v>
      </c>
      <c r="M9" s="9" t="s">
        <v>1011</v>
      </c>
    </row>
    <row r="10" spans="1:24" ht="45">
      <c r="A10" s="10" t="s">
        <v>225</v>
      </c>
      <c r="B10" s="9">
        <v>5</v>
      </c>
      <c r="C10" s="9" t="s">
        <v>456</v>
      </c>
      <c r="D10" s="9">
        <v>8</v>
      </c>
      <c r="E10" s="9" t="s">
        <v>1012</v>
      </c>
      <c r="F10" s="9">
        <v>8</v>
      </c>
      <c r="G10" s="9" t="s">
        <v>1013</v>
      </c>
      <c r="H10" s="9">
        <v>8</v>
      </c>
      <c r="I10" s="9" t="s">
        <v>1014</v>
      </c>
      <c r="J10" s="9">
        <v>8</v>
      </c>
      <c r="K10" s="9" t="s">
        <v>1015</v>
      </c>
      <c r="L10" s="9">
        <v>8</v>
      </c>
      <c r="M10" s="9" t="s">
        <v>1016</v>
      </c>
      <c r="N10" s="9">
        <v>8</v>
      </c>
      <c r="O10" s="9" t="s">
        <v>1017</v>
      </c>
      <c r="P10" s="9">
        <v>8</v>
      </c>
      <c r="Q10" s="9" t="s">
        <v>1018</v>
      </c>
    </row>
    <row r="11" spans="1:24" ht="60">
      <c r="A11" s="10" t="s">
        <v>176</v>
      </c>
      <c r="B11" s="9">
        <v>7</v>
      </c>
      <c r="C11" s="9" t="s">
        <v>1019</v>
      </c>
      <c r="D11" s="9">
        <v>8</v>
      </c>
      <c r="E11" s="9" t="s">
        <v>978</v>
      </c>
      <c r="F11" s="9">
        <v>8</v>
      </c>
      <c r="G11" s="9" t="s">
        <v>979</v>
      </c>
      <c r="H11" s="9">
        <v>8</v>
      </c>
      <c r="I11" s="9" t="s">
        <v>1020</v>
      </c>
      <c r="J11" s="9">
        <v>8</v>
      </c>
      <c r="K11" s="9" t="s">
        <v>1021</v>
      </c>
      <c r="L11" s="9">
        <v>8</v>
      </c>
      <c r="M11" s="9" t="s">
        <v>1022</v>
      </c>
      <c r="N11" s="9">
        <v>8</v>
      </c>
      <c r="O11" s="9" t="s">
        <v>1023</v>
      </c>
      <c r="P11" s="9">
        <v>8</v>
      </c>
      <c r="Q11" s="9" t="s">
        <v>1024</v>
      </c>
    </row>
    <row r="12" spans="1:24" ht="45">
      <c r="A12" s="10" t="s">
        <v>435</v>
      </c>
      <c r="B12" s="9">
        <v>4</v>
      </c>
      <c r="C12" s="9" t="s">
        <v>465</v>
      </c>
      <c r="D12" s="9">
        <v>8</v>
      </c>
      <c r="E12" s="9" t="s">
        <v>1007</v>
      </c>
      <c r="F12" s="9">
        <v>16</v>
      </c>
      <c r="G12" s="9" t="s">
        <v>1025</v>
      </c>
      <c r="H12" s="9">
        <v>16</v>
      </c>
      <c r="I12" s="9" t="s">
        <v>1026</v>
      </c>
    </row>
    <row r="13" spans="1:24" ht="60">
      <c r="A13" s="10" t="s">
        <v>235</v>
      </c>
      <c r="B13" s="9">
        <v>6</v>
      </c>
      <c r="C13" s="9" t="s">
        <v>471</v>
      </c>
      <c r="D13" s="9">
        <v>8</v>
      </c>
      <c r="E13" s="9" t="s">
        <v>1027</v>
      </c>
      <c r="F13" s="9">
        <v>16</v>
      </c>
      <c r="G13" s="9" t="s">
        <v>1028</v>
      </c>
      <c r="H13" s="9">
        <v>16</v>
      </c>
      <c r="I13" s="9" t="s">
        <v>1029</v>
      </c>
      <c r="J13" s="9">
        <v>16</v>
      </c>
      <c r="K13" s="9" t="s">
        <v>1030</v>
      </c>
    </row>
    <row r="14" spans="1:24">
      <c r="A14" s="10" t="s">
        <v>776</v>
      </c>
      <c r="B14" s="9">
        <v>1</v>
      </c>
      <c r="C14" s="9" t="s">
        <v>773</v>
      </c>
      <c r="D14" s="9">
        <v>8</v>
      </c>
      <c r="E14" s="11" t="s">
        <v>1031</v>
      </c>
      <c r="G14" s="9"/>
      <c r="H14" s="9"/>
    </row>
    <row r="15" spans="1:24">
      <c r="A15" s="10" t="s">
        <v>480</v>
      </c>
      <c r="B15" s="9">
        <v>1</v>
      </c>
      <c r="C15" s="9" t="s">
        <v>778</v>
      </c>
      <c r="D15" s="9">
        <v>8</v>
      </c>
      <c r="E15" s="9" t="s">
        <v>1032</v>
      </c>
      <c r="G15" s="9"/>
      <c r="H15" s="9"/>
    </row>
    <row r="16" spans="1:24" ht="30">
      <c r="A16" s="10" t="s">
        <v>154</v>
      </c>
      <c r="B16" s="9">
        <v>5</v>
      </c>
      <c r="C16" s="9" t="s">
        <v>1033</v>
      </c>
      <c r="D16" s="9">
        <v>8</v>
      </c>
      <c r="E16" s="9" t="s">
        <v>1034</v>
      </c>
      <c r="F16" s="9">
        <v>16</v>
      </c>
      <c r="G16" s="9" t="s">
        <v>1035</v>
      </c>
      <c r="H16" s="9">
        <v>16</v>
      </c>
      <c r="I16" s="9" t="s">
        <v>1036</v>
      </c>
    </row>
    <row r="17" spans="1:17" ht="30">
      <c r="A17" s="10" t="s">
        <v>161</v>
      </c>
      <c r="B17" s="9">
        <v>5</v>
      </c>
      <c r="C17" s="9" t="s">
        <v>1037</v>
      </c>
      <c r="D17" s="9">
        <v>8</v>
      </c>
      <c r="E17" s="9" t="s">
        <v>1038</v>
      </c>
      <c r="F17" s="9">
        <v>16</v>
      </c>
      <c r="G17" s="9" t="s">
        <v>1039</v>
      </c>
      <c r="H17" s="9">
        <v>16</v>
      </c>
      <c r="I17" s="9" t="s">
        <v>1035</v>
      </c>
    </row>
    <row r="18" spans="1:17" ht="60">
      <c r="A18" s="10" t="s">
        <v>147</v>
      </c>
      <c r="B18" s="9">
        <v>4</v>
      </c>
      <c r="C18" s="9" t="s">
        <v>1040</v>
      </c>
      <c r="D18" s="9">
        <v>8</v>
      </c>
      <c r="E18" s="9" t="s">
        <v>1034</v>
      </c>
      <c r="F18" s="9">
        <v>8</v>
      </c>
      <c r="G18" s="9" t="s">
        <v>1041</v>
      </c>
      <c r="H18" s="9">
        <v>8</v>
      </c>
      <c r="I18" s="9" t="s">
        <v>1042</v>
      </c>
      <c r="J18" s="9">
        <v>8</v>
      </c>
      <c r="K18" s="16" t="s">
        <v>1043</v>
      </c>
    </row>
    <row r="19" spans="1:17" ht="105">
      <c r="A19" s="10" t="s">
        <v>419</v>
      </c>
      <c r="B19" s="9">
        <v>4</v>
      </c>
      <c r="C19" s="9" t="s">
        <v>482</v>
      </c>
      <c r="D19" s="9">
        <v>8</v>
      </c>
      <c r="E19" s="9" t="s">
        <v>1034</v>
      </c>
      <c r="F19" s="9">
        <v>8</v>
      </c>
      <c r="G19" s="9" t="s">
        <v>1044</v>
      </c>
      <c r="H19" s="9">
        <v>8</v>
      </c>
      <c r="I19" s="9" t="s">
        <v>1045</v>
      </c>
      <c r="J19" s="9">
        <v>8</v>
      </c>
      <c r="K19" s="9" t="s">
        <v>1046</v>
      </c>
    </row>
    <row r="20" spans="1:17">
      <c r="A20" s="12" t="s">
        <v>1047</v>
      </c>
      <c r="B20" s="13">
        <v>7</v>
      </c>
      <c r="C20" s="13" t="s">
        <v>1048</v>
      </c>
      <c r="G20" s="9"/>
      <c r="H20" s="9"/>
    </row>
    <row r="21" spans="1:17" ht="45">
      <c r="A21" s="10" t="s">
        <v>184</v>
      </c>
      <c r="B21" s="9">
        <v>7</v>
      </c>
      <c r="C21" s="9" t="s">
        <v>1049</v>
      </c>
      <c r="D21" s="9">
        <v>8</v>
      </c>
      <c r="E21" s="9" t="s">
        <v>978</v>
      </c>
      <c r="F21" s="9">
        <v>8</v>
      </c>
      <c r="G21" s="9" t="s">
        <v>979</v>
      </c>
      <c r="H21" s="9">
        <v>8</v>
      </c>
      <c r="I21" s="9" t="s">
        <v>1050</v>
      </c>
      <c r="J21" s="9">
        <v>8</v>
      </c>
      <c r="K21" s="9" t="s">
        <v>1051</v>
      </c>
      <c r="L21" s="9">
        <v>8</v>
      </c>
      <c r="M21" s="9" t="s">
        <v>1052</v>
      </c>
      <c r="N21" s="9">
        <v>8</v>
      </c>
      <c r="O21" s="9" t="s">
        <v>1053</v>
      </c>
      <c r="P21" s="9">
        <v>8</v>
      </c>
      <c r="Q21" s="9" t="s">
        <v>1054</v>
      </c>
    </row>
    <row r="22" spans="1:17" ht="45">
      <c r="A22" s="10" t="s">
        <v>385</v>
      </c>
      <c r="B22" s="9">
        <v>1</v>
      </c>
      <c r="C22" s="9" t="s">
        <v>1055</v>
      </c>
      <c r="D22" s="9">
        <v>8</v>
      </c>
      <c r="E22" s="9" t="s">
        <v>1056</v>
      </c>
      <c r="G22" s="9"/>
      <c r="H22" s="9"/>
    </row>
    <row r="23" spans="1:17" ht="45">
      <c r="A23" s="10" t="s">
        <v>463</v>
      </c>
      <c r="B23" s="9">
        <v>4</v>
      </c>
      <c r="C23" s="9" t="s">
        <v>491</v>
      </c>
      <c r="D23" s="9">
        <v>8</v>
      </c>
      <c r="E23" s="9" t="s">
        <v>1007</v>
      </c>
      <c r="F23" s="9">
        <v>16</v>
      </c>
      <c r="G23" s="9" t="s">
        <v>1057</v>
      </c>
      <c r="H23" s="9">
        <v>16</v>
      </c>
      <c r="I23" s="9" t="s">
        <v>1058</v>
      </c>
    </row>
    <row r="24" spans="1:17" ht="45">
      <c r="A24" s="10" t="s">
        <v>455</v>
      </c>
      <c r="B24" s="9">
        <v>6</v>
      </c>
      <c r="C24" s="9" t="s">
        <v>496</v>
      </c>
      <c r="D24" s="9">
        <v>8</v>
      </c>
      <c r="E24" s="9" t="s">
        <v>1012</v>
      </c>
      <c r="F24" s="9">
        <v>16</v>
      </c>
      <c r="G24" s="9" t="s">
        <v>1059</v>
      </c>
      <c r="H24" s="9">
        <v>16</v>
      </c>
      <c r="I24" s="9" t="s">
        <v>1060</v>
      </c>
      <c r="J24" s="9">
        <v>16</v>
      </c>
      <c r="K24" s="9" t="s">
        <v>1061</v>
      </c>
    </row>
    <row r="25" spans="1:17" ht="45">
      <c r="A25" s="10" t="s">
        <v>446</v>
      </c>
      <c r="B25" s="9">
        <v>4</v>
      </c>
      <c r="C25" s="9" t="s">
        <v>508</v>
      </c>
      <c r="D25" s="9">
        <v>8</v>
      </c>
      <c r="E25" s="9" t="s">
        <v>1007</v>
      </c>
      <c r="F25" s="9">
        <v>16</v>
      </c>
      <c r="G25" s="9" t="s">
        <v>1062</v>
      </c>
      <c r="H25" s="9">
        <v>16</v>
      </c>
      <c r="I25" s="9" t="s">
        <v>1063</v>
      </c>
    </row>
    <row r="26" spans="1:17" ht="45">
      <c r="A26" s="10" t="s">
        <v>437</v>
      </c>
      <c r="B26" s="9">
        <v>6</v>
      </c>
      <c r="C26" s="9" t="s">
        <v>502</v>
      </c>
      <c r="D26" s="9">
        <v>8</v>
      </c>
      <c r="E26" s="9" t="s">
        <v>1012</v>
      </c>
      <c r="F26" s="9">
        <v>16</v>
      </c>
      <c r="G26" s="9" t="s">
        <v>1064</v>
      </c>
      <c r="H26" s="9">
        <v>16</v>
      </c>
      <c r="I26" s="9" t="s">
        <v>1065</v>
      </c>
      <c r="J26" s="9">
        <v>16</v>
      </c>
      <c r="K26" s="9" t="s">
        <v>1066</v>
      </c>
    </row>
    <row r="27" spans="1:17" ht="77.25" customHeight="1">
      <c r="A27" s="10" t="s">
        <v>549</v>
      </c>
      <c r="B27" s="9">
        <v>4</v>
      </c>
      <c r="C27" s="9" t="s">
        <v>545</v>
      </c>
      <c r="D27" s="9">
        <v>8</v>
      </c>
      <c r="E27" s="9" t="s">
        <v>1007</v>
      </c>
      <c r="F27" s="9">
        <v>16</v>
      </c>
      <c r="G27" s="9" t="s">
        <v>1067</v>
      </c>
      <c r="H27" s="9">
        <v>16</v>
      </c>
      <c r="I27" s="9" t="s">
        <v>1068</v>
      </c>
    </row>
    <row r="28" spans="1:17" ht="45">
      <c r="A28" s="10" t="s">
        <v>543</v>
      </c>
      <c r="B28" s="9">
        <v>6</v>
      </c>
      <c r="C28" s="9" t="s">
        <v>538</v>
      </c>
      <c r="D28" s="9">
        <v>8</v>
      </c>
      <c r="E28" s="9" t="s">
        <v>1012</v>
      </c>
      <c r="F28" s="9">
        <v>16</v>
      </c>
      <c r="G28" s="9" t="s">
        <v>1069</v>
      </c>
      <c r="H28" s="9">
        <v>16</v>
      </c>
      <c r="I28" s="9" t="s">
        <v>1070</v>
      </c>
      <c r="J28" s="9">
        <v>16</v>
      </c>
      <c r="K28" s="9" t="s">
        <v>1071</v>
      </c>
    </row>
    <row r="29" spans="1:17" ht="45">
      <c r="A29" s="10" t="s">
        <v>523</v>
      </c>
      <c r="B29" s="9">
        <v>4</v>
      </c>
      <c r="C29" s="9" t="s">
        <v>519</v>
      </c>
      <c r="D29" s="9">
        <v>8</v>
      </c>
      <c r="E29" s="9" t="s">
        <v>1007</v>
      </c>
      <c r="F29" s="9">
        <v>16</v>
      </c>
      <c r="G29" s="9" t="s">
        <v>1072</v>
      </c>
      <c r="H29" s="9">
        <v>16</v>
      </c>
      <c r="I29" s="9" t="s">
        <v>1073</v>
      </c>
    </row>
    <row r="30" spans="1:17" ht="45">
      <c r="A30" s="10" t="s">
        <v>447</v>
      </c>
      <c r="B30" s="9">
        <v>6</v>
      </c>
      <c r="C30" s="9" t="s">
        <v>513</v>
      </c>
      <c r="D30" s="9">
        <v>8</v>
      </c>
      <c r="E30" s="9" t="s">
        <v>1012</v>
      </c>
      <c r="F30" s="9">
        <v>16</v>
      </c>
      <c r="G30" s="9" t="s">
        <v>1074</v>
      </c>
      <c r="H30" s="9">
        <v>16</v>
      </c>
      <c r="I30" s="9" t="s">
        <v>1075</v>
      </c>
      <c r="J30" s="9">
        <v>16</v>
      </c>
      <c r="K30" s="9" t="s">
        <v>1076</v>
      </c>
    </row>
    <row r="31" spans="1:17" ht="45">
      <c r="A31" s="10" t="s">
        <v>536</v>
      </c>
      <c r="B31" s="9">
        <v>4</v>
      </c>
      <c r="C31" s="9" t="s">
        <v>532</v>
      </c>
      <c r="D31" s="9">
        <v>8</v>
      </c>
      <c r="E31" s="9" t="s">
        <v>1007</v>
      </c>
      <c r="F31" s="9">
        <v>16</v>
      </c>
      <c r="G31" s="9" t="s">
        <v>1077</v>
      </c>
      <c r="H31" s="9">
        <v>16</v>
      </c>
      <c r="I31" s="9" t="s">
        <v>1078</v>
      </c>
    </row>
    <row r="32" spans="1:17" ht="45">
      <c r="A32" s="10" t="s">
        <v>530</v>
      </c>
      <c r="B32" s="9">
        <v>6</v>
      </c>
      <c r="C32" s="9" t="s">
        <v>525</v>
      </c>
      <c r="D32" s="9">
        <v>8</v>
      </c>
      <c r="E32" s="9" t="s">
        <v>1012</v>
      </c>
      <c r="F32" s="9">
        <v>16</v>
      </c>
      <c r="G32" s="9" t="s">
        <v>1079</v>
      </c>
      <c r="H32" s="9">
        <v>16</v>
      </c>
      <c r="I32" s="9" t="s">
        <v>1080</v>
      </c>
      <c r="J32" s="9">
        <v>16</v>
      </c>
      <c r="K32" s="9" t="s">
        <v>1081</v>
      </c>
    </row>
    <row r="33" spans="1:17" ht="60">
      <c r="A33" s="54" t="s">
        <v>257</v>
      </c>
      <c r="C33" s="9" t="s">
        <v>57</v>
      </c>
      <c r="D33" s="9">
        <v>8</v>
      </c>
      <c r="E33" s="9" t="s">
        <v>1082</v>
      </c>
      <c r="F33" s="9">
        <v>8</v>
      </c>
      <c r="G33" s="9" t="s">
        <v>1083</v>
      </c>
      <c r="H33" s="9">
        <v>8</v>
      </c>
      <c r="I33" s="9" t="s">
        <v>1084</v>
      </c>
      <c r="J33" s="9">
        <v>8</v>
      </c>
      <c r="K33" s="9" t="s">
        <v>1085</v>
      </c>
      <c r="L33" s="9">
        <v>8</v>
      </c>
      <c r="M33" s="9" t="s">
        <v>1086</v>
      </c>
      <c r="N33" s="9">
        <v>8</v>
      </c>
      <c r="O33" s="9" t="s">
        <v>1087</v>
      </c>
    </row>
    <row r="34" spans="1:17" ht="60">
      <c r="A34" s="10" t="s">
        <v>157</v>
      </c>
      <c r="B34" s="9">
        <v>3</v>
      </c>
      <c r="C34" s="9" t="s">
        <v>1088</v>
      </c>
      <c r="D34" s="9">
        <v>8</v>
      </c>
      <c r="E34" s="9" t="s">
        <v>1089</v>
      </c>
      <c r="F34" s="9">
        <v>8</v>
      </c>
      <c r="G34" s="9" t="s">
        <v>1090</v>
      </c>
      <c r="H34" s="9">
        <v>8</v>
      </c>
      <c r="I34" s="9" t="s">
        <v>1091</v>
      </c>
    </row>
    <row r="35" spans="1:17" ht="60">
      <c r="A35" s="10" t="s">
        <v>401</v>
      </c>
      <c r="B35" s="9">
        <v>8</v>
      </c>
      <c r="C35" s="9" t="s">
        <v>948</v>
      </c>
      <c r="D35" s="9">
        <v>8</v>
      </c>
      <c r="E35" s="9" t="s">
        <v>1092</v>
      </c>
      <c r="F35" s="9">
        <v>8</v>
      </c>
      <c r="G35" s="9" t="s">
        <v>1093</v>
      </c>
      <c r="H35" s="9">
        <v>8</v>
      </c>
      <c r="I35" s="9" t="s">
        <v>399</v>
      </c>
      <c r="J35" s="9">
        <v>24</v>
      </c>
      <c r="K35" s="9" t="s">
        <v>1094</v>
      </c>
    </row>
    <row r="36" spans="1:17">
      <c r="A36" s="10" t="s">
        <v>703</v>
      </c>
      <c r="B36" s="9">
        <v>0</v>
      </c>
      <c r="C36" s="9" t="s">
        <v>871</v>
      </c>
      <c r="G36" s="9"/>
      <c r="H36" s="9"/>
    </row>
    <row r="37" spans="1:17">
      <c r="A37" s="10" t="s">
        <v>223</v>
      </c>
      <c r="B37" s="9">
        <v>4</v>
      </c>
      <c r="C37" s="9" t="s">
        <v>551</v>
      </c>
      <c r="D37" s="9">
        <v>8</v>
      </c>
      <c r="E37" s="9" t="s">
        <v>1095</v>
      </c>
      <c r="F37" s="9">
        <v>8</v>
      </c>
      <c r="G37" s="9" t="s">
        <v>1096</v>
      </c>
      <c r="H37" s="9">
        <v>8</v>
      </c>
      <c r="I37" s="9" t="s">
        <v>1097</v>
      </c>
      <c r="J37" s="9">
        <v>8</v>
      </c>
      <c r="K37" s="9" t="s">
        <v>1098</v>
      </c>
    </row>
    <row r="38" spans="1:17" ht="45">
      <c r="A38" s="10" t="s">
        <v>168</v>
      </c>
      <c r="B38" s="9">
        <v>7</v>
      </c>
      <c r="C38" s="9" t="s">
        <v>92</v>
      </c>
      <c r="D38" s="9">
        <v>8</v>
      </c>
      <c r="E38" s="9" t="s">
        <v>978</v>
      </c>
      <c r="F38" s="9">
        <v>8</v>
      </c>
      <c r="G38" s="9" t="s">
        <v>979</v>
      </c>
      <c r="H38" s="9">
        <v>8</v>
      </c>
      <c r="I38" s="9" t="s">
        <v>1099</v>
      </c>
      <c r="J38" s="9">
        <v>8</v>
      </c>
      <c r="K38" s="9" t="s">
        <v>1021</v>
      </c>
      <c r="L38" s="9">
        <v>8</v>
      </c>
      <c r="M38" s="9" t="s">
        <v>1022</v>
      </c>
    </row>
    <row r="39" spans="1:17" ht="45">
      <c r="A39" s="10" t="s">
        <v>211</v>
      </c>
      <c r="B39" s="9">
        <v>7</v>
      </c>
      <c r="C39" s="9" t="s">
        <v>95</v>
      </c>
      <c r="D39" s="9">
        <v>8</v>
      </c>
      <c r="E39" s="9" t="s">
        <v>978</v>
      </c>
      <c r="F39" s="9">
        <v>8</v>
      </c>
      <c r="G39" s="9" t="s">
        <v>979</v>
      </c>
      <c r="H39" s="9">
        <v>8</v>
      </c>
      <c r="I39" s="9" t="s">
        <v>1099</v>
      </c>
      <c r="J39" s="9">
        <v>8</v>
      </c>
      <c r="K39" s="9" t="s">
        <v>1021</v>
      </c>
      <c r="L39" s="9">
        <v>8</v>
      </c>
      <c r="M39" s="9" t="s">
        <v>1022</v>
      </c>
    </row>
    <row r="40" spans="1:17" ht="120">
      <c r="A40" s="10" t="s">
        <v>196</v>
      </c>
      <c r="B40" s="9">
        <v>7</v>
      </c>
      <c r="C40" s="9" t="s">
        <v>1100</v>
      </c>
      <c r="D40" s="9">
        <v>8</v>
      </c>
      <c r="E40" s="9" t="s">
        <v>1101</v>
      </c>
      <c r="F40" s="9">
        <v>8</v>
      </c>
      <c r="G40" s="9" t="s">
        <v>979</v>
      </c>
      <c r="H40" s="9">
        <v>8</v>
      </c>
      <c r="I40" s="9" t="s">
        <v>1102</v>
      </c>
      <c r="J40" s="9">
        <v>16</v>
      </c>
      <c r="K40" s="9" t="s">
        <v>1103</v>
      </c>
      <c r="L40" s="9">
        <v>16</v>
      </c>
      <c r="M40" s="9" t="s">
        <v>1104</v>
      </c>
    </row>
    <row r="41" spans="1:17" ht="60">
      <c r="A41" s="10" t="s">
        <v>172</v>
      </c>
      <c r="B41" s="9">
        <v>7</v>
      </c>
      <c r="C41" s="9" t="s">
        <v>1105</v>
      </c>
      <c r="D41" s="9">
        <v>8</v>
      </c>
      <c r="E41" s="9" t="s">
        <v>1106</v>
      </c>
      <c r="F41" s="9">
        <v>8</v>
      </c>
      <c r="G41" s="9" t="s">
        <v>1107</v>
      </c>
      <c r="H41" s="9">
        <v>8</v>
      </c>
      <c r="I41" s="9" t="s">
        <v>1108</v>
      </c>
      <c r="J41" s="9">
        <v>8</v>
      </c>
      <c r="K41" s="9" t="s">
        <v>1109</v>
      </c>
      <c r="L41" s="9">
        <v>8</v>
      </c>
      <c r="M41" s="9" t="s">
        <v>1110</v>
      </c>
      <c r="N41" s="9">
        <v>8</v>
      </c>
      <c r="O41" s="9" t="s">
        <v>1111</v>
      </c>
      <c r="P41" s="9">
        <v>8</v>
      </c>
      <c r="Q41" s="9" t="s">
        <v>1112</v>
      </c>
    </row>
    <row r="42" spans="1:17" ht="75">
      <c r="A42" s="10" t="s">
        <v>190</v>
      </c>
      <c r="B42" s="9">
        <v>7</v>
      </c>
      <c r="C42" s="9" t="s">
        <v>1113</v>
      </c>
      <c r="D42" s="9">
        <v>8</v>
      </c>
      <c r="E42" s="9" t="s">
        <v>978</v>
      </c>
      <c r="F42" s="9">
        <v>8</v>
      </c>
      <c r="G42" s="9" t="s">
        <v>979</v>
      </c>
      <c r="H42" s="9">
        <v>8</v>
      </c>
      <c r="I42" s="16" t="s">
        <v>1114</v>
      </c>
      <c r="J42" s="9">
        <v>8</v>
      </c>
      <c r="K42" s="11" t="s">
        <v>1115</v>
      </c>
      <c r="L42" s="9">
        <v>8</v>
      </c>
      <c r="M42" s="11" t="s">
        <v>1116</v>
      </c>
      <c r="N42" s="9">
        <v>8</v>
      </c>
      <c r="O42" s="11" t="s">
        <v>1117</v>
      </c>
      <c r="P42" s="9">
        <v>8</v>
      </c>
      <c r="Q42" s="11" t="s">
        <v>1118</v>
      </c>
    </row>
    <row r="43" spans="1:17" ht="45">
      <c r="A43" s="10" t="s">
        <v>454</v>
      </c>
      <c r="B43" s="9">
        <v>4</v>
      </c>
      <c r="C43" s="9" t="s">
        <v>560</v>
      </c>
      <c r="D43" s="9">
        <v>8</v>
      </c>
      <c r="E43" s="9" t="s">
        <v>1007</v>
      </c>
      <c r="F43" s="9">
        <v>16</v>
      </c>
      <c r="G43" s="9" t="s">
        <v>1119</v>
      </c>
      <c r="H43" s="9">
        <v>16</v>
      </c>
      <c r="I43" s="9" t="s">
        <v>1120</v>
      </c>
    </row>
    <row r="44" spans="1:17" ht="45">
      <c r="A44" s="10" t="s">
        <v>558</v>
      </c>
      <c r="B44" s="9">
        <v>6</v>
      </c>
      <c r="C44" s="9" t="s">
        <v>556</v>
      </c>
      <c r="D44" s="9">
        <v>8</v>
      </c>
      <c r="E44" s="9" t="s">
        <v>1012</v>
      </c>
      <c r="F44" s="9">
        <v>16</v>
      </c>
      <c r="G44" s="9" t="s">
        <v>1121</v>
      </c>
      <c r="H44" s="9">
        <v>16</v>
      </c>
      <c r="I44" s="9" t="s">
        <v>1122</v>
      </c>
      <c r="J44" s="9">
        <v>16</v>
      </c>
      <c r="K44" s="9" t="s">
        <v>1123</v>
      </c>
    </row>
    <row r="45" spans="1:17" ht="60">
      <c r="A45" s="10" t="s">
        <v>200</v>
      </c>
      <c r="B45" s="9">
        <v>7</v>
      </c>
      <c r="C45" s="9" t="s">
        <v>1124</v>
      </c>
      <c r="D45" s="9">
        <v>8</v>
      </c>
      <c r="E45" s="9" t="s">
        <v>978</v>
      </c>
      <c r="F45" s="9">
        <v>8</v>
      </c>
      <c r="G45" s="9" t="s">
        <v>979</v>
      </c>
      <c r="H45" s="9">
        <v>8</v>
      </c>
      <c r="I45" s="9" t="s">
        <v>1125</v>
      </c>
      <c r="J45" s="9">
        <v>16</v>
      </c>
      <c r="K45" s="9" t="s">
        <v>981</v>
      </c>
      <c r="L45" s="9">
        <v>16</v>
      </c>
      <c r="M45" s="9" t="s">
        <v>982</v>
      </c>
    </row>
    <row r="46" spans="1:17" ht="45">
      <c r="A46" s="10" t="s">
        <v>164</v>
      </c>
      <c r="B46" s="9">
        <v>3</v>
      </c>
      <c r="C46" s="9" t="s">
        <v>1126</v>
      </c>
      <c r="D46" s="9">
        <v>8</v>
      </c>
      <c r="E46" s="9" t="s">
        <v>1127</v>
      </c>
      <c r="F46" s="9">
        <v>8</v>
      </c>
      <c r="G46" s="9" t="s">
        <v>326</v>
      </c>
      <c r="H46" s="9">
        <v>8</v>
      </c>
      <c r="I46" s="9" t="s">
        <v>563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6282-33F6-4257-8D35-A47F599F6E13}">
  <dimension ref="A2:AG5"/>
  <sheetViews>
    <sheetView workbookViewId="0">
      <selection activeCell="K12" sqref="K12"/>
    </sheetView>
  </sheetViews>
  <sheetFormatPr defaultRowHeight="15"/>
  <cols>
    <col min="1" max="1" width="24" bestFit="1" customWidth="1"/>
    <col min="2" max="2" width="9.28515625" bestFit="1" customWidth="1"/>
    <col min="3" max="3" width="14.42578125" bestFit="1" customWidth="1"/>
    <col min="4" max="4" width="11.140625" bestFit="1" customWidth="1"/>
    <col min="5" max="6" width="8.7109375" bestFit="1" customWidth="1"/>
    <col min="7" max="7" width="9.85546875" bestFit="1" customWidth="1"/>
    <col min="8" max="8" width="8.5703125" bestFit="1" customWidth="1"/>
    <col min="11" max="11" width="7.85546875" customWidth="1"/>
    <col min="12" max="12" width="3.28515625" customWidth="1"/>
    <col min="13" max="13" width="2.85546875" customWidth="1"/>
    <col min="14" max="33" width="3.28515625" customWidth="1"/>
  </cols>
  <sheetData>
    <row r="2" spans="1:33" s="3" customFormat="1" ht="45">
      <c r="A2" s="3" t="s">
        <v>1128</v>
      </c>
      <c r="B2" s="3" t="s">
        <v>1129</v>
      </c>
      <c r="C2" s="3" t="s">
        <v>1130</v>
      </c>
      <c r="D2" s="3" t="s">
        <v>1131</v>
      </c>
      <c r="E2" s="3" t="s">
        <v>1132</v>
      </c>
      <c r="F2" s="3" t="s">
        <v>1133</v>
      </c>
      <c r="G2" s="3" t="s">
        <v>1134</v>
      </c>
      <c r="H2" s="3" t="s">
        <v>1135</v>
      </c>
      <c r="K2" s="69" t="s">
        <v>1136</v>
      </c>
      <c r="L2" s="69"/>
      <c r="M2" s="69"/>
      <c r="R2" s="70" t="s">
        <v>1137</v>
      </c>
      <c r="S2" s="70"/>
      <c r="T2" s="70"/>
      <c r="X2" s="70" t="s">
        <v>1138</v>
      </c>
      <c r="Y2" s="70"/>
    </row>
    <row r="3" spans="1:33">
      <c r="A3" s="65" t="s">
        <v>65</v>
      </c>
      <c r="B3" s="63">
        <f>HEX2DEC(LEFT(Table1[[#This Row],[Data]],2))</f>
        <v>96</v>
      </c>
      <c r="C3" s="63">
        <f>HEX2DEC(MID(Table1[[#This Row],[Data]],3,8))/10</f>
        <v>8534886.4000000004</v>
      </c>
      <c r="D3" s="63">
        <f>HEX2DEC(MID(Table1[[#This Row],[Data]],11,4))/10</f>
        <v>3277.1</v>
      </c>
      <c r="E3" s="63">
        <f>(HEX2DEC(MID(Table1[[#This Row],[Data]],15,2))+100)/100*Table1[[#This Row],[Amps-RMS-Avg]]</f>
        <v>3277.1</v>
      </c>
      <c r="F3" s="63">
        <f>(100-HEX2DEC(MID(Table1[[#This Row],[Data]],17,2)))/100*Table1[[#This Row],[Amps-RMS-Avg]]</f>
        <v>3277.1</v>
      </c>
      <c r="G3" s="64">
        <f>HEX2DEC(MID(Table1[[#This Row],[Data]],19,2))*5/255</f>
        <v>4.7450980392156863</v>
      </c>
      <c r="H3" s="64">
        <f>HEX2DEC(MID(Table1[[#This Row],[Data]],21,2))*120/255-40</f>
        <v>-17.411764705882351</v>
      </c>
      <c r="L3" s="71" t="s">
        <v>1139</v>
      </c>
      <c r="M3" s="71"/>
      <c r="N3" s="67" t="s">
        <v>1140</v>
      </c>
      <c r="O3" s="72"/>
      <c r="P3" s="72"/>
      <c r="Q3" s="72"/>
      <c r="R3" s="72"/>
      <c r="S3" s="72"/>
      <c r="T3" s="72"/>
      <c r="U3" s="68"/>
      <c r="V3" s="67" t="s">
        <v>1141</v>
      </c>
      <c r="W3" s="72"/>
      <c r="X3" s="72"/>
      <c r="Y3" s="68"/>
      <c r="Z3" s="67" t="s">
        <v>1142</v>
      </c>
      <c r="AA3" s="68"/>
      <c r="AB3" s="67" t="s">
        <v>1143</v>
      </c>
      <c r="AC3" s="68"/>
      <c r="AD3" s="67" t="s">
        <v>1144</v>
      </c>
      <c r="AE3" s="68"/>
      <c r="AF3" s="67" t="s">
        <v>934</v>
      </c>
      <c r="AG3" s="68"/>
    </row>
    <row r="4" spans="1:33">
      <c r="G4" s="59"/>
      <c r="H4" s="59"/>
      <c r="L4" s="60" t="str" cm="1">
        <f t="array" ref="L4">LEFT(Table1[Data],1)</f>
        <v>6</v>
      </c>
      <c r="M4" s="60" t="str">
        <f>MID($A3,2,1)</f>
        <v>0</v>
      </c>
      <c r="N4" s="60" t="str">
        <f>MID($A3,3,1)</f>
        <v>0</v>
      </c>
      <c r="O4" s="60" t="str">
        <f>MID($A3,4,1)</f>
        <v>5</v>
      </c>
      <c r="P4" s="60" t="str">
        <f>MID($A3,5,1)</f>
        <v>1</v>
      </c>
      <c r="Q4" s="60" t="str">
        <f>MID($A3,6,1)</f>
        <v>6</v>
      </c>
      <c r="R4" s="60" t="str">
        <f>MID($A3,7,1)</f>
        <v>5</v>
      </c>
      <c r="S4" s="60" t="str">
        <f>MID($A3,8,1)</f>
        <v>2</v>
      </c>
      <c r="T4" s="60" t="str">
        <f>MID($A3,9,1)</f>
        <v>0</v>
      </c>
      <c r="U4" s="60" t="str">
        <f>MID($A3,10,1)</f>
        <v>0</v>
      </c>
      <c r="V4" s="60" t="str">
        <f>MID($A3,11,1)</f>
        <v>8</v>
      </c>
      <c r="W4" s="60" t="str">
        <f>MID($A3,12,1)</f>
        <v>0</v>
      </c>
      <c r="X4" s="60" t="str">
        <f>MID($A3,13,1)</f>
        <v>0</v>
      </c>
      <c r="Y4" s="60" t="str">
        <f>MID($A3,14,1)</f>
        <v>3</v>
      </c>
      <c r="Z4" s="60" t="str">
        <f>MID($A3,15,1)</f>
        <v>0</v>
      </c>
      <c r="AA4" s="60" t="str">
        <f>MID($A3,16,1)</f>
        <v>0</v>
      </c>
      <c r="AB4" s="60" t="str">
        <f>MID($A3,17,1)</f>
        <v>0</v>
      </c>
      <c r="AC4" s="60" t="str">
        <f>MID($A3,18,1)</f>
        <v>0</v>
      </c>
      <c r="AD4" s="60" t="str">
        <f>MID($A3,19,1)</f>
        <v>F</v>
      </c>
      <c r="AE4" s="60" t="str">
        <f>MID($A3,20,1)</f>
        <v>2</v>
      </c>
      <c r="AF4" s="60" t="str">
        <f>MID($A3,21,1)</f>
        <v>3</v>
      </c>
      <c r="AG4" s="60" t="str">
        <f>MID($A3,22,1)</f>
        <v>0</v>
      </c>
    </row>
    <row r="5" spans="1:33">
      <c r="G5" s="59"/>
      <c r="H5" s="59"/>
    </row>
  </sheetData>
  <mergeCells count="10">
    <mergeCell ref="Z3:AA3"/>
    <mergeCell ref="AB3:AC3"/>
    <mergeCell ref="AD3:AE3"/>
    <mergeCell ref="AF3:AG3"/>
    <mergeCell ref="K2:M2"/>
    <mergeCell ref="R2:T2"/>
    <mergeCell ref="X2:Y2"/>
    <mergeCell ref="L3:M3"/>
    <mergeCell ref="N3:U3"/>
    <mergeCell ref="V3:Y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6008-0717-4113-8F31-E2F980CDCD88}">
  <sheetPr codeName="Sheet5"/>
  <dimension ref="A1:D8"/>
  <sheetViews>
    <sheetView zoomScale="115" zoomScaleNormal="115" workbookViewId="0">
      <selection activeCell="D5" sqref="D5"/>
    </sheetView>
  </sheetViews>
  <sheetFormatPr defaultRowHeight="15"/>
  <cols>
    <col min="1" max="1" width="9.42578125" style="22" bestFit="1" customWidth="1"/>
    <col min="2" max="2" width="26.28515625" style="22" bestFit="1" customWidth="1"/>
    <col min="3" max="3" width="21.42578125" style="22" customWidth="1"/>
    <col min="4" max="4" width="62.5703125" style="22" customWidth="1"/>
    <col min="5" max="16384" width="9.140625" style="22"/>
  </cols>
  <sheetData>
    <row r="1" spans="1:4">
      <c r="A1" s="22" t="s">
        <v>127</v>
      </c>
      <c r="B1" s="22" t="s">
        <v>1145</v>
      </c>
      <c r="C1" s="22" t="s">
        <v>1146</v>
      </c>
      <c r="D1" s="22" t="s">
        <v>1147</v>
      </c>
    </row>
    <row r="2" spans="1:4" ht="45">
      <c r="A2" s="22" t="s">
        <v>1148</v>
      </c>
      <c r="B2" s="22" t="s">
        <v>1149</v>
      </c>
      <c r="C2" s="22" t="s">
        <v>1150</v>
      </c>
      <c r="D2" s="10" t="s">
        <v>1151</v>
      </c>
    </row>
    <row r="3" spans="1:4" ht="75">
      <c r="A3" s="22" t="s">
        <v>1152</v>
      </c>
      <c r="B3" s="22" t="s">
        <v>1153</v>
      </c>
      <c r="C3" s="22" t="s">
        <v>1154</v>
      </c>
      <c r="D3" s="10" t="s">
        <v>1155</v>
      </c>
    </row>
    <row r="4" spans="1:4" ht="66.75" customHeight="1">
      <c r="A4" s="22" t="s">
        <v>1152</v>
      </c>
      <c r="B4" s="22" t="s">
        <v>1153</v>
      </c>
      <c r="C4" s="22" t="s">
        <v>1156</v>
      </c>
      <c r="D4" s="10" t="s">
        <v>1157</v>
      </c>
    </row>
    <row r="5" spans="1:4" ht="90">
      <c r="A5" s="22" t="s">
        <v>1152</v>
      </c>
      <c r="B5" s="22" t="s">
        <v>1153</v>
      </c>
      <c r="C5" s="22" t="s">
        <v>1156</v>
      </c>
      <c r="D5" s="10" t="s">
        <v>1158</v>
      </c>
    </row>
    <row r="6" spans="1:4" ht="51" customHeight="1">
      <c r="A6" s="22" t="s">
        <v>1152</v>
      </c>
      <c r="B6" s="22" t="s">
        <v>1153</v>
      </c>
      <c r="C6" s="22" t="s">
        <v>1159</v>
      </c>
      <c r="D6" s="10" t="s">
        <v>1160</v>
      </c>
    </row>
    <row r="7" spans="1:4" ht="45">
      <c r="A7" s="22" t="s">
        <v>1152</v>
      </c>
      <c r="B7" s="22" t="s">
        <v>1161</v>
      </c>
      <c r="C7" s="22" t="s">
        <v>1156</v>
      </c>
      <c r="D7" s="10" t="s">
        <v>1162</v>
      </c>
    </row>
    <row r="8" spans="1:4" ht="150">
      <c r="A8" s="22" t="s">
        <v>1152</v>
      </c>
      <c r="B8" s="22" t="s">
        <v>1163</v>
      </c>
      <c r="C8" s="22" t="s">
        <v>1150</v>
      </c>
      <c r="D8" s="10" t="s">
        <v>1164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A5FC1CDF51414C81E2721F51901045" ma:contentTypeVersion="17" ma:contentTypeDescription="Create a new document." ma:contentTypeScope="" ma:versionID="cad410cb1ec1552210d2612abd28f4d5">
  <xsd:schema xmlns:xsd="http://www.w3.org/2001/XMLSchema" xmlns:xs="http://www.w3.org/2001/XMLSchema" xmlns:p="http://schemas.microsoft.com/office/2006/metadata/properties" xmlns:ns2="b1b5cbad-5187-4f24-b041-12c5e6521de3" xmlns:ns3="3a6fc17e-1900-4931-9c36-384fa8d6e111" targetNamespace="http://schemas.microsoft.com/office/2006/metadata/properties" ma:root="true" ma:fieldsID="4fdd681d7f29a2af78a1db2ae170cbaa" ns2:_="" ns3:_="">
    <xsd:import namespace="b1b5cbad-5187-4f24-b041-12c5e6521de3"/>
    <xsd:import namespace="3a6fc17e-1900-4931-9c36-384fa8d6e1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Testnotes" minOccurs="0"/>
                <xsd:element ref="ns2:Produ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5cbad-5187-4f24-b041-12c5e6521d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3a339f9-1db7-4d48-9924-5c1227d189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Testnotes" ma:index="23" nillable="true" ma:displayName="Test notes" ma:format="Dropdown" ma:internalName="Testnotes">
      <xsd:simpleType>
        <xsd:restriction base="dms:Text">
          <xsd:maxLength value="255"/>
        </xsd:restriction>
      </xsd:simpleType>
    </xsd:element>
    <xsd:element name="Product" ma:index="24" nillable="true" ma:displayName="Product" ma:description="Project &amp; rev (301 Gen2)" ma:format="Dropdown" ma:internalName="Produc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fc17e-1900-4931-9c36-384fa8d6e1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fb3379-4854-419f-b22f-b75cbce09395}" ma:internalName="TaxCatchAll" ma:showField="CatchAllData" ma:web="3a6fc17e-1900-4931-9c36-384fa8d6e1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b5cbad-5187-4f24-b041-12c5e6521de3">
      <Terms xmlns="http://schemas.microsoft.com/office/infopath/2007/PartnerControls"/>
    </lcf76f155ced4ddcb4097134ff3c332f>
    <Testnotes xmlns="b1b5cbad-5187-4f24-b041-12c5e6521de3" xsi:nil="true"/>
    <Product xmlns="b1b5cbad-5187-4f24-b041-12c5e6521de3" xsi:nil="true"/>
    <TaxCatchAll xmlns="3a6fc17e-1900-4931-9c36-384fa8d6e111" xsi:nil="true"/>
  </documentManagement>
</p:properties>
</file>

<file path=customXml/itemProps1.xml><?xml version="1.0" encoding="utf-8"?>
<ds:datastoreItem xmlns:ds="http://schemas.openxmlformats.org/officeDocument/2006/customXml" ds:itemID="{BE166A3E-1E1E-4CA2-8167-A8633A07CA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b5cbad-5187-4f24-b041-12c5e6521de3"/>
    <ds:schemaRef ds:uri="3a6fc17e-1900-4931-9c36-384fa8d6e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F003C1-0F3F-465C-A572-2DA15606B4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E5EC95-BF73-42E6-9E6E-53B2FB63A313}">
  <ds:schemaRefs>
    <ds:schemaRef ds:uri="http://purl.org/dc/elements/1.1/"/>
    <ds:schemaRef ds:uri="http://schemas.microsoft.com/office/infopath/2007/PartnerControls"/>
    <ds:schemaRef ds:uri="b1b5cbad-5187-4f24-b041-12c5e6521de3"/>
    <ds:schemaRef ds:uri="3a6fc17e-1900-4931-9c36-384fa8d6e111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Uplink Decoder 2</vt:lpstr>
      <vt:lpstr>Uplink Message Types</vt:lpstr>
      <vt:lpstr>Downlink Encoder</vt:lpstr>
      <vt:lpstr>Tables</vt:lpstr>
      <vt:lpstr>Downlink Decoder 2</vt:lpstr>
      <vt:lpstr>Downlink Decoder</vt:lpstr>
      <vt:lpstr>Downlink Message types</vt:lpstr>
      <vt:lpstr>MTCT300</vt:lpstr>
      <vt:lpstr>SW version differences</vt:lpstr>
      <vt:lpstr>'Downlink Decoder 2'!Criteria</vt:lpstr>
      <vt:lpstr>DL_Desc</vt:lpstr>
      <vt:lpstr>DL_Type</vt:lpstr>
      <vt:lpstr>IAQ_message_ID</vt:lpstr>
      <vt:lpstr>IAQ_Message_Type</vt:lpstr>
      <vt:lpstr>ThermocoupleType</vt:lpstr>
      <vt:lpstr>Threshold_sample_size</vt:lpstr>
      <vt:lpstr>Threshold_Sample5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Klein</dc:creator>
  <cp:keywords/>
  <dc:description/>
  <cp:lastModifiedBy>Nick Klein</cp:lastModifiedBy>
  <cp:revision/>
  <dcterms:created xsi:type="dcterms:W3CDTF">2023-09-20T12:50:29Z</dcterms:created>
  <dcterms:modified xsi:type="dcterms:W3CDTF">2025-12-02T15:13:18Z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0x01010077A5FC1CDF51414C81E2721F51901045</vt:lpwstr>
  </property>
  <property fmtid="{D5CDD505-2E9C-101B-9397-08002B2CF9AE}" pid="3" name="MediaServiceImageTags">
    <vt:lpwstr/>
  </property>
</Properties>
</file>