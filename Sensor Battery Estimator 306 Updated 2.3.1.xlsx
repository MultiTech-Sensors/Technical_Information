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lein\Downloads\"/>
    </mc:Choice>
  </mc:AlternateContent>
  <xr:revisionPtr revIDLastSave="0" documentId="13_ncr:1_{AC5BE94A-3B2D-4DF3-AFB4-E015F8C884D3}" xr6:coauthVersionLast="47" xr6:coauthVersionMax="47" xr10:uidLastSave="{00000000-0000-0000-0000-000000000000}"/>
  <bookViews>
    <workbookView xWindow="-120" yWindow="-120" windowWidth="29040" windowHeight="17550" xr2:uid="{00000000-000D-0000-FFFF-FFFF00000000}"/>
  </bookViews>
  <sheets>
    <sheet name="Main" sheetId="16" r:id="rId1"/>
    <sheet name="tables" sheetId="14" r:id="rId2"/>
  </sheets>
  <definedNames>
    <definedName name="BattDischD">tables!$C$16</definedName>
    <definedName name="BatterymAh">tables!$C$14</definedName>
    <definedName name="Devices">RBS306Data[Device]</definedName>
    <definedName name="DeviceType">Main!$B$1</definedName>
    <definedName name="LQN">Main!$B$6</definedName>
    <definedName name="LQU">Main!$C$6</definedName>
    <definedName name="SensorPN">Main!$B$7</definedName>
    <definedName name="SensorPU">Main!$C$7</definedName>
    <definedName name="SensorSN">Main!$B$8</definedName>
    <definedName name="SensorSU">Main!$C$8</definedName>
    <definedName name="SuperN">Main!$B$5</definedName>
    <definedName name="SuperU">Main!$C$5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4" l="1"/>
  <c r="G23" i="14"/>
  <c r="E23" i="14"/>
  <c r="G22" i="14"/>
  <c r="E22" i="14"/>
  <c r="I27" i="14"/>
  <c r="G27" i="14"/>
  <c r="E27" i="14"/>
  <c r="I25" i="14"/>
  <c r="G25" i="14"/>
  <c r="E25" i="14"/>
  <c r="G24" i="14"/>
  <c r="E24" i="14"/>
  <c r="I22" i="14"/>
  <c r="I31" i="14"/>
  <c r="I24" i="14"/>
  <c r="I26" i="14"/>
  <c r="I32" i="14"/>
  <c r="I28" i="14"/>
  <c r="I29" i="14"/>
  <c r="I30" i="14"/>
  <c r="L30" i="14" s="1"/>
  <c r="P30" i="14" s="1"/>
  <c r="G31" i="14"/>
  <c r="G26" i="14"/>
  <c r="G32" i="14"/>
  <c r="G28" i="14"/>
  <c r="G29" i="14"/>
  <c r="G30" i="14"/>
  <c r="E31" i="14"/>
  <c r="E26" i="14"/>
  <c r="E32" i="14"/>
  <c r="E28" i="14"/>
  <c r="E29" i="14"/>
  <c r="E30" i="14"/>
  <c r="K23" i="14"/>
  <c r="K31" i="14"/>
  <c r="K24" i="14"/>
  <c r="K25" i="14"/>
  <c r="K26" i="14"/>
  <c r="K32" i="14"/>
  <c r="K27" i="14"/>
  <c r="K28" i="14"/>
  <c r="M28" i="14" s="1"/>
  <c r="S28" i="14" s="1"/>
  <c r="K29" i="14"/>
  <c r="K30" i="14"/>
  <c r="L27" i="14" l="1"/>
  <c r="P27" i="14" s="1"/>
  <c r="L29" i="14"/>
  <c r="P29" i="14" s="1"/>
  <c r="M25" i="14"/>
  <c r="S25" i="14" s="1"/>
  <c r="L32" i="14"/>
  <c r="P32" i="14" s="1"/>
  <c r="L31" i="14"/>
  <c r="L23" i="14"/>
  <c r="L28" i="14"/>
  <c r="L26" i="14"/>
  <c r="P26" i="14" s="1"/>
  <c r="L25" i="14"/>
  <c r="P25" i="14" s="1"/>
  <c r="M23" i="14"/>
  <c r="S23" i="14" s="1"/>
  <c r="L24" i="14"/>
  <c r="P24" i="14" s="1"/>
  <c r="M29" i="14"/>
  <c r="S29" i="14" s="1"/>
  <c r="M30" i="14"/>
  <c r="S30" i="14" s="1"/>
  <c r="M31" i="14"/>
  <c r="S31" i="14" s="1"/>
  <c r="M26" i="14"/>
  <c r="S26" i="14" s="1"/>
  <c r="M27" i="14"/>
  <c r="S27" i="14" s="1"/>
  <c r="M32" i="14"/>
  <c r="S32" i="14" s="1"/>
  <c r="M24" i="14"/>
  <c r="S24" i="14" s="1"/>
  <c r="O27" i="14"/>
  <c r="O29" i="14"/>
  <c r="O30" i="14"/>
  <c r="O23" i="14"/>
  <c r="P23" i="14"/>
  <c r="O31" i="14"/>
  <c r="P31" i="14"/>
  <c r="P28" i="14"/>
  <c r="O28" i="14"/>
  <c r="O24" i="14" l="1"/>
  <c r="O25" i="14"/>
  <c r="O26" i="14"/>
  <c r="O32" i="14"/>
  <c r="E1" i="16"/>
  <c r="K22" i="14" l="1"/>
  <c r="C14" i="14"/>
  <c r="C15" i="14" s="1"/>
  <c r="C16" i="14" s="1"/>
  <c r="M22" i="14" l="1"/>
  <c r="S22" i="14" s="1"/>
  <c r="L22" i="14"/>
  <c r="B9" i="14"/>
  <c r="B6" i="14"/>
  <c r="B8" i="14"/>
  <c r="B10" i="14"/>
  <c r="B7" i="14"/>
  <c r="R27" i="14" l="1"/>
  <c r="R29" i="14"/>
  <c r="R32" i="14"/>
  <c r="R23" i="14"/>
  <c r="R26" i="14"/>
  <c r="R25" i="14"/>
  <c r="R28" i="14"/>
  <c r="R31" i="14"/>
  <c r="R30" i="14"/>
  <c r="R24" i="14"/>
  <c r="Q28" i="14"/>
  <c r="Q25" i="14"/>
  <c r="Q31" i="14"/>
  <c r="Q26" i="14"/>
  <c r="Q23" i="14"/>
  <c r="Q29" i="14"/>
  <c r="Q32" i="14"/>
  <c r="Q27" i="14"/>
  <c r="Q30" i="14"/>
  <c r="Q24" i="14"/>
  <c r="Q22" i="14"/>
  <c r="R22" i="14"/>
  <c r="P22" i="14"/>
  <c r="O22" i="14"/>
  <c r="T31" i="14" l="1"/>
  <c r="U31" i="14" s="1"/>
  <c r="X31" i="14" s="1"/>
  <c r="T30" i="14"/>
  <c r="U30" i="14" s="1"/>
  <c r="X30" i="14" s="1"/>
  <c r="T26" i="14"/>
  <c r="U26" i="14" s="1"/>
  <c r="X26" i="14" s="1"/>
  <c r="T28" i="14"/>
  <c r="U28" i="14" s="1"/>
  <c r="Z28" i="14" s="1"/>
  <c r="T27" i="14"/>
  <c r="U27" i="14" s="1"/>
  <c r="Y27" i="14" s="1"/>
  <c r="T23" i="14"/>
  <c r="U23" i="14" s="1"/>
  <c r="X23" i="14" s="1"/>
  <c r="T32" i="14"/>
  <c r="U32" i="14" s="1"/>
  <c r="X32" i="14" s="1"/>
  <c r="T29" i="14"/>
  <c r="U29" i="14" s="1"/>
  <c r="Z29" i="14" s="1"/>
  <c r="T25" i="14"/>
  <c r="U25" i="14" s="1"/>
  <c r="Z25" i="14" s="1"/>
  <c r="T24" i="14"/>
  <c r="U24" i="14" s="1"/>
  <c r="T22" i="14"/>
  <c r="U22" i="14" s="1"/>
  <c r="Y26" i="14" l="1"/>
  <c r="Z26" i="14"/>
  <c r="X27" i="14"/>
  <c r="Y30" i="14"/>
  <c r="Z30" i="14"/>
  <c r="Z31" i="14"/>
  <c r="W31" i="14"/>
  <c r="V31" i="14"/>
  <c r="AA31" i="14"/>
  <c r="Y31" i="14"/>
  <c r="Y25" i="14"/>
  <c r="X25" i="14"/>
  <c r="X29" i="14"/>
  <c r="Z24" i="14"/>
  <c r="AA24" i="14"/>
  <c r="W24" i="14"/>
  <c r="V24" i="14"/>
  <c r="W28" i="14"/>
  <c r="V28" i="14"/>
  <c r="AA28" i="14"/>
  <c r="Y24" i="14"/>
  <c r="AA29" i="14"/>
  <c r="V29" i="14"/>
  <c r="W29" i="14"/>
  <c r="AA32" i="14"/>
  <c r="V32" i="14"/>
  <c r="W32" i="14"/>
  <c r="Y29" i="14"/>
  <c r="W23" i="14"/>
  <c r="AA23" i="14"/>
  <c r="V23" i="14"/>
  <c r="X24" i="14"/>
  <c r="AA27" i="14"/>
  <c r="W27" i="14"/>
  <c r="V27" i="14"/>
  <c r="Z23" i="14"/>
  <c r="Z27" i="14"/>
  <c r="Y32" i="14"/>
  <c r="X28" i="14"/>
  <c r="Y23" i="14"/>
  <c r="Z32" i="14"/>
  <c r="W26" i="14"/>
  <c r="V26" i="14"/>
  <c r="AA26" i="14"/>
  <c r="W25" i="14"/>
  <c r="V25" i="14"/>
  <c r="AA25" i="14"/>
  <c r="AA30" i="14"/>
  <c r="V30" i="14"/>
  <c r="W30" i="14"/>
  <c r="Y28" i="14"/>
  <c r="AA22" i="14"/>
  <c r="Z22" i="14"/>
  <c r="W22" i="14"/>
  <c r="V22" i="14"/>
  <c r="F5" i="16" s="1"/>
  <c r="F6" i="16" s="1"/>
  <c r="X22" i="14"/>
  <c r="Y22" i="14"/>
  <c r="F7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Klein</author>
  </authors>
  <commentList>
    <comment ref="B1" authorId="0" shapeId="0" xr:uid="{627EE2DC-79CD-4439-87C3-190C318B022A}">
      <text>
        <r>
          <rPr>
            <b/>
            <sz val="9"/>
            <color indexed="81"/>
            <rFont val="Tahoma"/>
            <family val="2"/>
          </rPr>
          <t>Choose device here</t>
        </r>
      </text>
    </comment>
    <comment ref="A5" authorId="0" shapeId="0" xr:uid="{652A0356-34FE-4457-9004-5EE8F79879A7}">
      <text>
        <r>
          <rPr>
            <sz val="9"/>
            <color indexed="81"/>
            <rFont val="Tahoma"/>
            <family val="2"/>
          </rPr>
          <t>Super message uplink interval</t>
        </r>
      </text>
    </comment>
    <comment ref="A6" authorId="0" shapeId="0" xr:uid="{310C05A0-0CD1-4B7B-8A27-AAD75FF6B47D}">
      <text>
        <r>
          <rPr>
            <sz val="9"/>
            <color indexed="81"/>
            <rFont val="Tahoma"/>
            <family val="2"/>
          </rPr>
          <t>Link Quality message uplink interval</t>
        </r>
      </text>
    </comment>
    <comment ref="A7" authorId="0" shapeId="0" xr:uid="{1D3EB5D5-90A9-418E-8153-B05E4D4ED7F9}">
      <text>
        <r>
          <rPr>
            <sz val="9"/>
            <color indexed="81"/>
            <rFont val="Tahoma"/>
            <family val="2"/>
          </rPr>
          <t>Sensor message uplink interval.
Set to "0" to disable periodic reporting.</t>
        </r>
      </text>
    </comment>
    <comment ref="A8" authorId="0" shapeId="0" xr:uid="{6FBC71D2-DA5A-4FF0-9EBF-1C7E5E140C90}">
      <text>
        <r>
          <rPr>
            <sz val="9"/>
            <color indexed="81"/>
            <rFont val="Tahoma"/>
            <family val="2"/>
          </rPr>
          <t>Rate the sensor is checked</t>
        </r>
      </text>
    </comment>
    <comment ref="B9" authorId="0" shapeId="0" xr:uid="{E8135FDB-27FF-44CA-8D73-D7E1E195B19B}">
      <text>
        <r>
          <rPr>
            <sz val="9"/>
            <color indexed="81"/>
            <rFont val="Tahoma"/>
            <family val="2"/>
          </rPr>
          <t>DR0 is worst case, with ADR on typically you will be at DR3</t>
        </r>
      </text>
    </comment>
  </commentList>
</comments>
</file>

<file path=xl/sharedStrings.xml><?xml version="1.0" encoding="utf-8"?>
<sst xmlns="http://schemas.openxmlformats.org/spreadsheetml/2006/main" count="119" uniqueCount="80">
  <si>
    <t>Device:</t>
  </si>
  <si>
    <t>Enter data in tan areas</t>
  </si>
  <si>
    <t>Battery life</t>
  </si>
  <si>
    <t>Sensor Configuration</t>
  </si>
  <si>
    <t>Value</t>
  </si>
  <si>
    <t>Units</t>
  </si>
  <si>
    <t>Duration</t>
  </si>
  <si>
    <t>Supervisory period</t>
  </si>
  <si>
    <t>Hours</t>
  </si>
  <si>
    <t>Days</t>
  </si>
  <si>
    <t>Link Quality period</t>
  </si>
  <si>
    <t>Months</t>
  </si>
  <si>
    <t>Sensor periodic reporting</t>
  </si>
  <si>
    <t>Min</t>
  </si>
  <si>
    <t>Years</t>
  </si>
  <si>
    <t>Sensor sampling rate</t>
  </si>
  <si>
    <t>Sec</t>
  </si>
  <si>
    <t>Data Rate</t>
  </si>
  <si>
    <t>DR3</t>
  </si>
  <si>
    <t>----</t>
  </si>
  <si>
    <t>mA</t>
  </si>
  <si>
    <t>mAh</t>
  </si>
  <si>
    <t>mS</t>
  </si>
  <si>
    <t>Sleep</t>
  </si>
  <si>
    <t>Multiplier</t>
  </si>
  <si>
    <t>DR</t>
  </si>
  <si>
    <t>TOA</t>
  </si>
  <si>
    <t>Interval</t>
  </si>
  <si>
    <t>Device</t>
  </si>
  <si>
    <t>H</t>
  </si>
  <si>
    <t>DR0</t>
  </si>
  <si>
    <t>DR1</t>
  </si>
  <si>
    <t>Hrs</t>
  </si>
  <si>
    <t>DR2</t>
  </si>
  <si>
    <t>M</t>
  </si>
  <si>
    <t>Measured</t>
  </si>
  <si>
    <t>S</t>
  </si>
  <si>
    <t>Parameter</t>
  </si>
  <si>
    <t>BattDisch10Y</t>
  </si>
  <si>
    <t>BattDischD</t>
  </si>
  <si>
    <t>Samplet</t>
  </si>
  <si>
    <t>Pre TXi</t>
  </si>
  <si>
    <t>Samplei</t>
  </si>
  <si>
    <t>Pre TXt</t>
  </si>
  <si>
    <t>TXi</t>
  </si>
  <si>
    <t>TXt</t>
  </si>
  <si>
    <t>Post TXi</t>
  </si>
  <si>
    <t>Post TXt</t>
  </si>
  <si>
    <t>306-ATH</t>
  </si>
  <si>
    <t>Measured / Estimate</t>
  </si>
  <si>
    <t>BatterymAh</t>
  </si>
  <si>
    <t>Super message</t>
  </si>
  <si>
    <t>LQ message</t>
  </si>
  <si>
    <t>Sensor Periodic</t>
  </si>
  <si>
    <t>Sensor Sampling</t>
  </si>
  <si>
    <t>h</t>
  </si>
  <si>
    <t>Daily total</t>
  </si>
  <si>
    <t>Lifetime Super</t>
  </si>
  <si>
    <t>Lifetime LQ</t>
  </si>
  <si>
    <t>Lifetime Sensor Periodic</t>
  </si>
  <si>
    <t>Lifetime Sampling</t>
  </si>
  <si>
    <t>Lifetime Battery discharge</t>
  </si>
  <si>
    <t>TXTotal</t>
  </si>
  <si>
    <t>TXmAH</t>
  </si>
  <si>
    <t>DailySleep</t>
  </si>
  <si>
    <t>Measured values</t>
  </si>
  <si>
    <t>Lifetime Sleep</t>
  </si>
  <si>
    <t xml:space="preserve">306-420MA </t>
  </si>
  <si>
    <t xml:space="preserve">306-ABM </t>
  </si>
  <si>
    <t xml:space="preserve">306-CON </t>
  </si>
  <si>
    <t>306-TEMP-EXT</t>
  </si>
  <si>
    <t xml:space="preserve">306-TEMP-TC </t>
  </si>
  <si>
    <t xml:space="preserve">306-TILT-HP </t>
  </si>
  <si>
    <t>306-VM30</t>
  </si>
  <si>
    <t xml:space="preserve">306-WR10M </t>
  </si>
  <si>
    <t>306-WR1M</t>
  </si>
  <si>
    <t xml:space="preserve">306-US10M </t>
  </si>
  <si>
    <t>Estimated</t>
  </si>
  <si>
    <t>@6.6V</t>
  </si>
  <si>
    <t>Doesn't use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</si>
</sst>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 applyAlignment="1" applyProtection="1">
      <alignment horizontal="left"/>
      <protection locked="0"/>
    </xf>
    <xf numFmtId="0" fontId="0" fillId="0" borderId="0" xfId="0" quotePrefix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hidden="1"/>
    </xf>
    <xf numFmtId="0" fontId="0" fillId="0" borderId="0" xfId="0" quotePrefix="1" applyAlignment="1" applyProtection="1">
      <alignment horizontal="left"/>
      <protection hidden="1"/>
    </xf>
    <xf numFmtId="164" fontId="0" fillId="0" borderId="0" xfId="0" applyNumberFormat="1" applyAlignment="1" applyProtection="1">
      <alignment horizontal="left"/>
      <protection hidden="1"/>
    </xf>
    <xf numFmtId="0" fontId="1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hidden="1"/>
    </xf>
    <xf numFmtId="0" fontId="0" fillId="0" borderId="0" xfId="0" applyAlignment="1">
      <alignment vertical="center" wrapText="1"/>
    </xf>
    <xf numFmtId="0" fontId="0" fillId="0" borderId="0" xfId="0" applyAlignment="1" applyProtection="1">
      <alignment vertical="center" wrapText="1"/>
      <protection hidden="1"/>
    </xf>
    <xf numFmtId="166" fontId="0" fillId="0" borderId="0" xfId="0" applyNumberFormat="1" applyProtection="1">
      <protection hidden="1"/>
    </xf>
    <xf numFmtId="166" fontId="0" fillId="0" borderId="0" xfId="0" applyNumberFormat="1" applyAlignment="1" applyProtection="1">
      <alignment vertical="center" wrapText="1"/>
      <protection hidden="1"/>
    </xf>
    <xf numFmtId="164" fontId="0" fillId="0" borderId="0" xfId="0" applyNumberFormat="1" applyAlignment="1" applyProtection="1">
      <alignment vertical="center" wrapText="1"/>
      <protection hidden="1"/>
    </xf>
    <xf numFmtId="0" fontId="0" fillId="0" borderId="0" xfId="0" quotePrefix="1" applyAlignment="1" applyProtection="1">
      <alignment vertical="top"/>
      <protection hidden="1"/>
    </xf>
    <xf numFmtId="0" fontId="0" fillId="0" borderId="0" xfId="0" applyAlignment="1" applyProtection="1">
      <alignment horizontal="left" vertical="top"/>
      <protection hidden="1"/>
    </xf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left" vertical="top" wrapText="1"/>
      <protection hidden="1"/>
    </xf>
    <xf numFmtId="0" fontId="0" fillId="0" borderId="0" xfId="0" applyAlignment="1" applyProtection="1">
      <alignment vertical="top"/>
      <protection hidden="1"/>
    </xf>
    <xf numFmtId="11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11" fontId="0" fillId="0" borderId="0" xfId="0" applyNumberFormat="1" applyAlignment="1" applyProtection="1">
      <alignment vertical="center" wrapText="1"/>
      <protection hidden="1"/>
    </xf>
    <xf numFmtId="165" fontId="0" fillId="0" borderId="0" xfId="0" applyNumberFormat="1" applyAlignment="1" applyProtection="1">
      <alignment vertical="center" wrapText="1"/>
      <protection hidden="1"/>
    </xf>
    <xf numFmtId="0" fontId="0" fillId="0" borderId="4" xfId="0" applyBorder="1" applyProtection="1">
      <protection hidden="1"/>
    </xf>
    <xf numFmtId="0" fontId="0" fillId="0" borderId="4" xfId="0" applyBorder="1" applyAlignment="1">
      <alignment vertical="center" wrapText="1"/>
    </xf>
    <xf numFmtId="0" fontId="0" fillId="0" borderId="4" xfId="0" applyBorder="1" applyAlignment="1" applyProtection="1">
      <alignment vertical="center" wrapText="1"/>
      <protection hidden="1"/>
    </xf>
    <xf numFmtId="11" fontId="0" fillId="0" borderId="4" xfId="0" applyNumberFormat="1" applyBorder="1" applyAlignment="1">
      <alignment vertical="center" wrapText="1"/>
    </xf>
    <xf numFmtId="165" fontId="0" fillId="0" borderId="4" xfId="0" applyNumberFormat="1" applyBorder="1" applyAlignment="1">
      <alignment vertical="center" wrapText="1"/>
    </xf>
    <xf numFmtId="165" fontId="0" fillId="0" borderId="4" xfId="0" applyNumberFormat="1" applyBorder="1" applyAlignment="1" applyProtection="1">
      <alignment vertical="center" wrapText="1"/>
      <protection hidden="1"/>
    </xf>
    <xf numFmtId="166" fontId="0" fillId="0" borderId="4" xfId="0" applyNumberFormat="1" applyBorder="1" applyAlignment="1" applyProtection="1">
      <alignment vertical="center" wrapText="1"/>
      <protection hidden="1"/>
    </xf>
    <xf numFmtId="164" fontId="0" fillId="0" borderId="4" xfId="0" applyNumberFormat="1" applyBorder="1" applyAlignment="1" applyProtection="1">
      <alignment vertical="center" wrapText="1"/>
      <protection hidden="1"/>
    </xf>
    <xf numFmtId="0" fontId="4" fillId="2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0" fillId="3" borderId="1" xfId="0" applyFill="1" applyBorder="1" applyAlignment="1" applyProtection="1">
      <alignment horizontal="center"/>
      <protection hidden="1"/>
    </xf>
    <xf numFmtId="0" fontId="0" fillId="3" borderId="2" xfId="0" applyFill="1" applyBorder="1" applyAlignment="1" applyProtection="1">
      <alignment horizontal="center"/>
      <protection hidden="1"/>
    </xf>
    <xf numFmtId="0" fontId="0" fillId="3" borderId="3" xfId="0" applyFill="1" applyBorder="1" applyAlignment="1" applyProtection="1">
      <alignment horizontal="center"/>
      <protection hidden="1"/>
    </xf>
  </cellXfs>
  <cellStyles count="1">
    <cellStyle name="Normal" xfId="0" builtinId="0"/>
  </cellStyles>
  <dxfs count="51">
    <dxf>
      <numFmt numFmtId="166" formatCode="0.000"/>
      <alignment horizontal="general" vertical="center" textRotation="0" wrapText="1" indent="0" justifyLastLine="0" shrinkToFit="0" readingOrder="0"/>
    </dxf>
    <dxf>
      <numFmt numFmtId="166" formatCode="0.000"/>
      <alignment horizontal="general" vertical="center" textRotation="0" wrapText="1" indent="0" justifyLastLine="0" shrinkToFit="0" readingOrder="0"/>
      <protection locked="1" hidden="1"/>
    </dxf>
    <dxf>
      <numFmt numFmtId="166" formatCode="0.000"/>
      <alignment horizontal="general" vertical="center" textRotation="0" wrapText="1" indent="0" justifyLastLine="0" shrinkToFit="0" readingOrder="0"/>
    </dxf>
    <dxf>
      <numFmt numFmtId="166" formatCode="0.000"/>
      <alignment horizontal="general" vertical="center" textRotation="0" wrapText="1" indent="0" justifyLastLine="0" shrinkToFit="0" readingOrder="0"/>
    </dxf>
    <dxf>
      <numFmt numFmtId="166" formatCode="0.000"/>
      <alignment horizontal="general" vertical="center" textRotation="0" wrapText="1" indent="0" justifyLastLine="0" shrinkToFit="0" readingOrder="0"/>
    </dxf>
    <dxf>
      <numFmt numFmtId="166" formatCode="0.00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6" formatCode="0.000"/>
      <alignment horizontal="general" vertical="center" textRotation="0" wrapText="1" indent="0" justifyLastLine="0" shrinkToFit="0" readingOrder="0"/>
    </dxf>
    <dxf>
      <numFmt numFmtId="166" formatCode="0.000"/>
      <alignment horizontal="general" vertical="center" textRotation="0" wrapText="1" indent="0" justifyLastLine="0" shrinkToFit="0" readingOrder="0"/>
      <protection locked="1" hidden="1"/>
    </dxf>
    <dxf>
      <numFmt numFmtId="166" formatCode="0.000"/>
      <alignment horizontal="general" vertical="center" textRotation="0" wrapText="1" indent="0" justifyLastLine="0" shrinkToFit="0" readingOrder="0"/>
    </dxf>
    <dxf>
      <numFmt numFmtId="166" formatCode="0.000"/>
      <alignment horizontal="general" vertical="center" textRotation="0" wrapText="1" indent="0" justifyLastLine="0" shrinkToFit="0" readingOrder="0"/>
    </dxf>
    <dxf>
      <numFmt numFmtId="166" formatCode="0.000"/>
      <alignment horizontal="general" vertical="center" textRotation="0" wrapText="1" indent="0" justifyLastLine="0" shrinkToFit="0" readingOrder="0"/>
    </dxf>
    <dxf>
      <numFmt numFmtId="166" formatCode="0.0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165" formatCode="0.00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165" formatCode="0.00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165" formatCode="0.00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165" formatCode="0.00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15" formatCode="0.00E+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protection locked="1" hidden="1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alignment horizontal="general" vertical="bottom" textRotation="0" wrapText="1" indent="0" justifyLastLine="0" shrinkToFit="0" readingOrder="0"/>
      <protection locked="1" hidden="1"/>
    </dxf>
    <dxf>
      <protection locked="1" hidden="1"/>
    </dxf>
    <dxf>
      <protection locked="1" hidden="1"/>
    </dxf>
    <dxf>
      <protection locked="1" hidden="1"/>
    </dxf>
    <dxf>
      <alignment horizontal="general" vertical="bottom" textRotation="0" wrapText="1" indent="0" justifyLastLine="0" shrinkToFit="0" readingOrder="0"/>
      <protection locked="1" hidden="1"/>
    </dxf>
    <dxf>
      <numFmt numFmtId="164" formatCode="0.0"/>
      <alignment horizontal="left" vertical="bottom" textRotation="0" wrapText="0" indent="0" justifyLastLine="0" shrinkToFit="0" readingOrder="0"/>
      <protection locked="1" hidden="1"/>
    </dxf>
    <dxf>
      <alignment horizontal="left" vertical="bottom" textRotation="0" wrapText="0" indent="0" justifyLastLine="0" shrinkToFit="0" readingOrder="0"/>
      <protection locked="1" hidden="1"/>
    </dxf>
    <dxf>
      <alignment horizontal="left" vertical="bottom" textRotation="0" wrapText="0" indent="0" justifyLastLine="0" shrinkToFit="0" readingOrder="0"/>
      <protection locked="1" hidden="1"/>
    </dxf>
    <dxf>
      <alignment horizontal="left" vertical="bottom" textRotation="0" wrapText="0" indent="0" justifyLastLine="0" shrinkToFit="0" readingOrder="0"/>
      <protection locked="1" hidden="1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1" hidden="1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protection locked="1" hidden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dk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Lifetime mAh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tables!$V$21</c:f>
              <c:strCache>
                <c:ptCount val="1"/>
                <c:pt idx="0">
                  <c:v>Lifetime Super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tables!$V$22</c:f>
              <c:numCache>
                <c:formatCode>0.000</c:formatCode>
                <c:ptCount val="1"/>
                <c:pt idx="0">
                  <c:v>18.553895492156723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E-490D-B7C0-E53322641188}"/>
            </c:ext>
          </c:extLst>
        </c:ser>
        <c:ser>
          <c:idx val="1"/>
          <c:order val="1"/>
          <c:tx>
            <c:strRef>
              <c:f>tables!$W$21</c:f>
              <c:strCache>
                <c:ptCount val="1"/>
                <c:pt idx="0">
                  <c:v>Lifetime LQ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tables!$W$22</c:f>
              <c:numCache>
                <c:formatCode>0.000</c:formatCode>
                <c:ptCount val="1"/>
                <c:pt idx="0">
                  <c:v>37.107790984313446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E-490D-B7C0-E53322641188}"/>
            </c:ext>
          </c:extLst>
        </c:ser>
        <c:ser>
          <c:idx val="2"/>
          <c:order val="2"/>
          <c:tx>
            <c:strRef>
              <c:f>tables!$X$21</c:f>
              <c:strCache>
                <c:ptCount val="1"/>
                <c:pt idx="0">
                  <c:v>Lifetime Sensor Periodic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tables!$X$22</c:f>
              <c:numCache>
                <c:formatCode>0.000</c:formatCode>
                <c:ptCount val="1"/>
                <c:pt idx="0">
                  <c:v>1781.1739672470453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9E-490D-B7C0-E53322641188}"/>
            </c:ext>
          </c:extLst>
        </c:ser>
        <c:ser>
          <c:idx val="3"/>
          <c:order val="3"/>
          <c:tx>
            <c:strRef>
              <c:f>tables!$Y$21</c:f>
              <c:strCache>
                <c:ptCount val="1"/>
                <c:pt idx="0">
                  <c:v>Lifetime Sampling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tables!$Y$22</c:f>
              <c:numCache>
                <c:formatCode>0.000</c:formatCode>
                <c:ptCount val="1"/>
                <c:pt idx="0">
                  <c:v>80.26623727615322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9E-490D-B7C0-E53322641188}"/>
            </c:ext>
          </c:extLst>
        </c:ser>
        <c:ser>
          <c:idx val="5"/>
          <c:order val="4"/>
          <c:tx>
            <c:strRef>
              <c:f>tables!$Z$21</c:f>
              <c:strCache>
                <c:ptCount val="1"/>
                <c:pt idx="0">
                  <c:v>Lifetime Sleep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tables!$Z$22</c:f>
              <c:numCache>
                <c:formatCode>0.000</c:formatCode>
                <c:ptCount val="1"/>
                <c:pt idx="0">
                  <c:v>469.11944362522354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2-4288-890D-EF178AF11E9F}"/>
            </c:ext>
          </c:extLst>
        </c:ser>
        <c:ser>
          <c:idx val="4"/>
          <c:order val="5"/>
          <c:tx>
            <c:strRef>
              <c:f>tables!$AA$21</c:f>
              <c:strCache>
                <c:ptCount val="1"/>
                <c:pt idx="0">
                  <c:v>Lifetime Battery discharge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tables!$AA$22</c:f>
              <c:numCache>
                <c:formatCode>0.000</c:formatCode>
                <c:ptCount val="1"/>
                <c:pt idx="0">
                  <c:v>13.778665375107838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9E-490D-B7C0-E53322641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5419343"/>
        <c:axId val="845418383"/>
      </c:barChart>
      <c:catAx>
        <c:axId val="84541934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18383"/>
        <c:crosses val="autoZero"/>
        <c:auto val="1"/>
        <c:lblAlgn val="ctr"/>
        <c:lblOffset val="100"/>
        <c:noMultiLvlLbl val="0"/>
      </c:catAx>
      <c:valAx>
        <c:axId val="845418383"/>
        <c:scaling>
          <c:orientation val="minMax"/>
          <c:max val="24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alpha val="50000"/>
                </a:schemeClr>
              </a:solidFill>
              <a:round/>
            </a:ln>
            <a:effectLst/>
          </c:spPr>
        </c:majorGridlines>
        <c:numFmt formatCode="0.000" sourceLinked="1"/>
        <c:majorTickMark val="in"/>
        <c:minorTickMark val="cross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1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98820</xdr:colOff>
      <xdr:row>11</xdr:row>
      <xdr:rowOff>0</xdr:rowOff>
    </xdr:from>
    <xdr:to>
      <xdr:col>5</xdr:col>
      <xdr:colOff>887015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EA8A7-07E3-24EC-DDAB-450946CE5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7A422C-7F9B-4C30-9C47-B47095B8B692}" name="Table3" displayName="Table3" ref="A4:C9" totalsRowShown="0" headerRowDxfId="50" dataDxfId="49">
  <autoFilter ref="A4:C9" xr:uid="{1C7A422C-7F9B-4C30-9C47-B47095B8B692}"/>
  <tableColumns count="3">
    <tableColumn id="1" xr3:uid="{276AE07C-98CE-43FF-B9D7-09BEC9B30E16}" name="Sensor Configuration" dataDxfId="48"/>
    <tableColumn id="2" xr3:uid="{01FC7BFC-6672-44BD-8F97-C7035489A553}" name="Value" dataDxfId="47"/>
    <tableColumn id="3" xr3:uid="{85532B98-90E2-4052-BADA-2337E4982AE7}" name="Units" dataDxfId="4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BA8FE3-D7A0-481B-BEF4-9E0FACBA6C3B}" name="Table4" displayName="Table4" ref="E4:F7" totalsRowShown="0" headerRowDxfId="45" dataDxfId="44">
  <autoFilter ref="E4:F7" xr:uid="{12BA8FE3-D7A0-481B-BEF4-9E0FACBA6C3B}"/>
  <tableColumns count="2">
    <tableColumn id="1" xr3:uid="{3B564EE3-0A2C-4C2F-9533-E43B8CD085F6}" name="Units" dataDxfId="43"/>
    <tableColumn id="2" xr3:uid="{42F7FC26-F694-4369-9BEB-84E47FAC6149}" name="Duration" dataDxfId="4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2559A-B252-499A-8229-6FE6519C019F}" name="Units" displayName="Units" ref="A2:B10" totalsRowShown="0" headerRowDxfId="41" dataDxfId="40">
  <autoFilter ref="A2:B10" xr:uid="{5EF2559A-B252-499A-8229-6FE6519C019F}"/>
  <sortState xmlns:xlrd2="http://schemas.microsoft.com/office/spreadsheetml/2017/richdata2" ref="A3:B10">
    <sortCondition ref="A2:A10"/>
  </sortState>
  <tableColumns count="2">
    <tableColumn id="1" xr3:uid="{04929DE1-2A29-449A-8B8A-700F8E38ABEB}" name="Interval" dataDxfId="39"/>
    <tableColumn id="2" xr3:uid="{EEFC777B-05E5-41E0-A635-FB961C140994}" name="Multiplier" dataDxfId="3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0DFA28-7F1C-458D-A0C6-7F1B56C3FE4B}" name="TOA" displayName="TOA" ref="D2:F6" totalsRowShown="0" headerRowDxfId="37" dataDxfId="36">
  <autoFilter ref="D2:F6" xr:uid="{770DFA28-7F1C-458D-A0C6-7F1B56C3FE4B}"/>
  <tableColumns count="3">
    <tableColumn id="1" xr3:uid="{E59BAFDC-4910-4929-B0E3-ED7400895A27}" name="DR" dataDxfId="35"/>
    <tableColumn id="2" xr3:uid="{AE05F142-001E-48BC-B9F4-03DF1D24AFD0}" name="TOA" dataDxfId="34"/>
    <tableColumn id="3" xr3:uid="{4A71F1BF-015F-4771-8B5C-3C99EA1B16BB}" name="Interval" dataDxfId="3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406591-5ACB-4890-AEAE-6D9ED5D45633}" name="Table6" displayName="Table6" ref="B13:D16" totalsRowShown="0" headerRowDxfId="32" dataDxfId="31">
  <autoFilter ref="B13:D16" xr:uid="{4E406591-5ACB-4890-AEAE-6D9ED5D45633}"/>
  <tableColumns count="3">
    <tableColumn id="1" xr3:uid="{F939F8DE-6101-424A-A776-79CDE85FF262}" name="Parameter" dataDxfId="30"/>
    <tableColumn id="2" xr3:uid="{768FB44A-5E26-4C40-9539-EB1FE034D557}" name="Value" dataDxfId="29"/>
    <tableColumn id="3" xr3:uid="{7E2B6E46-B231-45DF-A477-1DC79891AA15}" name="Units" dataDxfId="2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F08119-85B3-474A-8469-032F6AD9FDD0}" name="RBS306Data" displayName="RBS306Data" ref="B21:AA32" totalsRowShown="0" headerRowDxfId="27" dataDxfId="26">
  <autoFilter ref="B21:AA32" xr:uid="{FFF08119-85B3-474A-8469-032F6AD9FDD0}"/>
  <tableColumns count="26">
    <tableColumn id="1" xr3:uid="{FE5997E3-7379-4494-9CD8-2796CAD5F0F3}" name="Device" dataDxfId="25"/>
    <tableColumn id="2" xr3:uid="{76CB4E39-EF0D-4897-B583-417A61B19DCE}" name="Sleep" dataDxfId="24"/>
    <tableColumn id="3" xr3:uid="{1848F879-0055-44E5-8747-0BEB2195B883}" name="Samplei" dataDxfId="23"/>
    <tableColumn id="4" xr3:uid="{7C42CDAD-4667-49BA-8A06-3FC15E752701}" name="Samplet" dataDxfId="22">
      <calculatedColumnFormula>25/(100*60*60)</calculatedColumnFormula>
    </tableColumn>
    <tableColumn id="5" xr3:uid="{947C5171-229A-4369-B02E-DC543AF5EE55}" name="Pre TXi" dataDxfId="21"/>
    <tableColumn id="6" xr3:uid="{0DD017C1-2FC5-4B99-942E-2A4A2341918E}" name="Pre TXt" dataDxfId="20">
      <calculatedColumnFormula>760/(100*60*60)</calculatedColumnFormula>
    </tableColumn>
    <tableColumn id="7" xr3:uid="{D2627D9F-4E92-4EF6-A8D9-25B22CFB270C}" name="TXi" dataDxfId="19"/>
    <tableColumn id="8" xr3:uid="{52CA91D8-21D5-46B7-9A28-994971B27770}" name="TXt" dataDxfId="18">
      <calculatedColumnFormula>51/(100*60*60)</calculatedColumnFormula>
    </tableColumn>
    <tableColumn id="9" xr3:uid="{47B2523A-D4F6-4487-AF33-3A411D9D5B18}" name="Post TXi" dataDxfId="17"/>
    <tableColumn id="10" xr3:uid="{AB812165-F9F2-42F1-9892-713C28B793CC}" name="Post TXt" dataDxfId="16">
      <calculatedColumnFormula>1115/(100*60*60)</calculatedColumnFormula>
    </tableColumn>
    <tableColumn id="25" xr3:uid="{7F639331-DB1B-4CC6-990A-27BCAECB9A8D}" name="TXmAH" dataDxfId="15">
      <calculatedColumnFormula>RBS306Data[[#This Row],[Pre TXi]]*RBS306Data[[#This Row],[Pre TXt]]+RBS306Data[[#This Row],[TXi]]*RBS306Data[[#This Row],[TXt]]+RBS306Data[[#This Row],[Post TXi]]*RBS306Data[[#This Row],[Post TXt]]</calculatedColumnFormula>
    </tableColumn>
    <tableColumn id="24" xr3:uid="{E0FACB7D-F19E-4106-A3AB-0EABF3D7D001}" name="TXTotal" dataDxfId="14">
      <calculatedColumnFormula>SUM(RBS306Data[[#This Row],[Pre TXt]]+RBS306Data[[#This Row],[TXt]]+RBS306Data[[#This Row],[Post TXt]])</calculatedColumnFormula>
    </tableColumn>
    <tableColumn id="11" xr3:uid="{94B02F0F-9DD8-40A5-8B66-438C2EE5937F}" name="Measured / Estimate" dataDxfId="13"/>
    <tableColumn id="12" xr3:uid="{6B092194-9EB6-4262-B688-D9EFEF1AB62A}" name="Super message" dataDxfId="12">
      <calculatedColumnFormula>24/(SuperN*VLOOKUP(SuperU,Units[],2,0))*RBS306Data[[#This Row],[TXmAH]]</calculatedColumnFormula>
    </tableColumn>
    <tableColumn id="13" xr3:uid="{7F087ECE-CF10-4DAD-91FE-E560ED541FFB}" name="LQ message" dataDxfId="11">
      <calculatedColumnFormula>24/(LQN*VLOOKUP(LQU,Units[],2,0))*RBS306Data[[#This Row],[TXmAH]]</calculatedColumnFormula>
    </tableColumn>
    <tableColumn id="14" xr3:uid="{50E089BA-F25A-4746-B7AE-7A59CCF1B197}" name="Sensor Periodic" dataDxfId="10">
      <calculatedColumnFormula>24/(SensorPN*VLOOKUP(SensorPU,Units[],2,0))*RBS306Data[[#This Row],[TXmAH]]</calculatedColumnFormula>
    </tableColumn>
    <tableColumn id="15" xr3:uid="{2EEAD58F-12FA-464A-A60E-0AFB50C88644}" name="Sensor Sampling" dataDxfId="9">
      <calculatedColumnFormula>24/(SensorSN*VLOOKUP(SensorSU,Units[],2,0))*(RBS306Data[[#This Row],[Samplei]]*RBS306Data[[#This Row],[Samplet]])</calculatedColumnFormula>
    </tableColumn>
    <tableColumn id="26" xr3:uid="{055AF2E3-CD8D-4132-8366-BCD1C9B16E0D}" name="DailySleep" dataDxfId="8">
      <calculatedColumnFormula>RBS306Data[[#This Row],[Sleep]]*(24-(24/(SuperN*VLOOKUP(SuperU,Units[],2,0))*RBS306Data[[#This Row],[TXTotal]]+24/(LQN*VLOOKUP(LQU,Units[],2,0))*RBS306Data[[#This Row],[TXTotal]]+24/(SensorPN*VLOOKUP(SensorPU,Units[],2,0))*RBS306Data[[#This Row],[TXTotal]]+24/(SensorSN*VLOOKUP(SensorSU,Units[],2,0))*(RBS306Data[[#This Row],[Samplet]])))</calculatedColumnFormula>
    </tableColumn>
    <tableColumn id="16" xr3:uid="{25E99C7B-C9FD-45BE-8B11-20272AFA82FB}" name="Daily total" dataDxfId="7">
      <calculatedColumnFormula>SUM(RBS306Data[[#This Row],[Super message]:[DailySleep]])+BattDischD</calculatedColumnFormula>
    </tableColumn>
    <tableColumn id="17" xr3:uid="{76C7895E-034E-490B-984C-2E5E591DF474}" name="Days" dataDxfId="6">
      <calculatedColumnFormula>BatterymAh/RBS306Data[[#This Row],[Daily total]]</calculatedColumnFormula>
    </tableColumn>
    <tableColumn id="19" xr3:uid="{2DE7CC2F-9E76-449B-81F5-B164F63CF67E}" name="Lifetime Super" dataDxfId="5">
      <calculatedColumnFormula>RBS306Data[[#This Row],[Super message]]*RBS306Data[[#This Row],[Days]]</calculatedColumnFormula>
    </tableColumn>
    <tableColumn id="20" xr3:uid="{06A1959C-7F93-4701-909B-26BEBF5DA929}" name="Lifetime LQ" dataDxfId="4">
      <calculatedColumnFormula>RBS306Data[[#This Row],[LQ message]]*RBS306Data[[#This Row],[Days]]</calculatedColumnFormula>
    </tableColumn>
    <tableColumn id="21" xr3:uid="{B3559EF2-6507-4ABA-A9EE-2C4FEA3D23F5}" name="Lifetime Sensor Periodic" dataDxfId="3">
      <calculatedColumnFormula>RBS306Data[[#This Row],[Sensor Periodic]]*RBS306Data[[#This Row],[Days]]</calculatedColumnFormula>
    </tableColumn>
    <tableColumn id="22" xr3:uid="{ACDAF96A-1D22-46C2-8055-9E9DBAFAE9A4}" name="Lifetime Sampling" dataDxfId="2">
      <calculatedColumnFormula>RBS306Data[[#This Row],[Sensor Sampling]]*RBS306Data[[#This Row],[Days]]</calculatedColumnFormula>
    </tableColumn>
    <tableColumn id="18" xr3:uid="{F716DF85-9E3F-45F2-99CF-B3F105DA4AF6}" name="Lifetime Sleep" dataDxfId="1">
      <calculatedColumnFormula>RBS306Data[[#This Row],[DailySleep]]*RBS306Data[[#This Row],[Days]]</calculatedColumnFormula>
    </tableColumn>
    <tableColumn id="23" xr3:uid="{DCA978F9-D032-459F-AD12-BD384E92568F}" name="Lifetime Battery discharge" dataDxfId="0">
      <calculatedColumnFormula>RBS306Data[[#This Row],[Days]]*BattDischD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2349-76E0-4A57-9212-AD4CCDB7F2FC}">
  <dimension ref="A1:F14"/>
  <sheetViews>
    <sheetView tabSelected="1" zoomScale="160" zoomScaleNormal="160" workbookViewId="0">
      <selection activeCell="I2" sqref="I2"/>
    </sheetView>
  </sheetViews>
  <sheetFormatPr defaultColWidth="9.140625" defaultRowHeight="15" x14ac:dyDescent="0.25"/>
  <cols>
    <col min="1" max="1" width="23.85546875" style="3" bestFit="1" customWidth="1"/>
    <col min="2" max="3" width="10.140625" style="3" bestFit="1" customWidth="1"/>
    <col min="4" max="4" width="17.28515625" style="3" bestFit="1" customWidth="1"/>
    <col min="5" max="5" width="8.42578125" style="3" bestFit="1" customWidth="1"/>
    <col min="6" max="6" width="13.28515625" style="3" bestFit="1" customWidth="1"/>
    <col min="7" max="16384" width="9.140625" style="3"/>
  </cols>
  <sheetData>
    <row r="1" spans="1:6" ht="26.25" x14ac:dyDescent="0.4">
      <c r="A1" s="7" t="s">
        <v>0</v>
      </c>
      <c r="B1" s="32" t="s">
        <v>48</v>
      </c>
      <c r="C1" s="32"/>
      <c r="D1" s="32"/>
      <c r="E1" s="33" t="str">
        <f>VLOOKUP(DeviceType,RBS306Data[],13,0)</f>
        <v>Measured</v>
      </c>
      <c r="F1" s="33"/>
    </row>
    <row r="2" spans="1:6" x14ac:dyDescent="0.25">
      <c r="A2" s="6" t="s">
        <v>1</v>
      </c>
    </row>
    <row r="3" spans="1:6" x14ac:dyDescent="0.25">
      <c r="A3" s="6"/>
      <c r="E3" s="34" t="s">
        <v>2</v>
      </c>
      <c r="F3" s="34"/>
    </row>
    <row r="4" spans="1:6" x14ac:dyDescent="0.25">
      <c r="A4" s="6" t="s">
        <v>3</v>
      </c>
      <c r="B4" s="6" t="s">
        <v>4</v>
      </c>
      <c r="C4" s="6" t="s">
        <v>5</v>
      </c>
      <c r="E4" s="6" t="s">
        <v>5</v>
      </c>
      <c r="F4" s="3" t="s">
        <v>6</v>
      </c>
    </row>
    <row r="5" spans="1:6" x14ac:dyDescent="0.25">
      <c r="A5" s="3" t="s">
        <v>7</v>
      </c>
      <c r="B5" s="1">
        <v>24</v>
      </c>
      <c r="C5" s="1" t="s">
        <v>8</v>
      </c>
      <c r="E5" s="3" t="s">
        <v>9</v>
      </c>
      <c r="F5" s="5">
        <f>VLOOKUP(DeviceType,RBS306Data[],20,0)</f>
        <v>419.1010718261968</v>
      </c>
    </row>
    <row r="6" spans="1:6" x14ac:dyDescent="0.25">
      <c r="A6" s="3" t="s">
        <v>10</v>
      </c>
      <c r="B6" s="1">
        <v>12</v>
      </c>
      <c r="C6" s="1" t="s">
        <v>8</v>
      </c>
      <c r="E6" s="3" t="s">
        <v>11</v>
      </c>
      <c r="F6" s="5">
        <f>F5/30</f>
        <v>13.970035727539893</v>
      </c>
    </row>
    <row r="7" spans="1:6" x14ac:dyDescent="0.25">
      <c r="A7" s="3" t="s">
        <v>12</v>
      </c>
      <c r="B7" s="1">
        <v>15</v>
      </c>
      <c r="C7" s="1" t="s">
        <v>13</v>
      </c>
      <c r="E7" s="3" t="s">
        <v>14</v>
      </c>
      <c r="F7" s="5">
        <f>F5/365</f>
        <v>1.1482221145923199</v>
      </c>
    </row>
    <row r="8" spans="1:6" x14ac:dyDescent="0.25">
      <c r="A8" s="3" t="s">
        <v>15</v>
      </c>
      <c r="B8" s="1">
        <v>1</v>
      </c>
      <c r="C8" s="1" t="s">
        <v>34</v>
      </c>
    </row>
    <row r="9" spans="1:6" hidden="1" x14ac:dyDescent="0.25">
      <c r="A9" s="3" t="s">
        <v>17</v>
      </c>
      <c r="B9" s="1" t="s">
        <v>31</v>
      </c>
      <c r="C9" s="2" t="s">
        <v>19</v>
      </c>
    </row>
    <row r="14" spans="1:6" x14ac:dyDescent="0.25">
      <c r="B14" s="4"/>
      <c r="C14" s="4"/>
    </row>
  </sheetData>
  <sheetProtection selectLockedCells="1" autoFilter="0" pivotTables="0"/>
  <mergeCells count="3">
    <mergeCell ref="B1:D1"/>
    <mergeCell ref="E1:F1"/>
    <mergeCell ref="E3:F3"/>
  </mergeCells>
  <dataValidations count="1">
    <dataValidation type="list" allowBlank="1" showInputMessage="1" showErrorMessage="1" sqref="B1" xr:uid="{B489D60B-DED4-4A75-B56A-01CFE01C64BE}">
      <formula1>Devices</formula1>
    </dataValidation>
  </dataValidations>
  <pageMargins left="0.7" right="0.7" top="0.75" bottom="0.75" header="0.3" footer="0.3"/>
  <drawing r:id="rId1"/>
  <legacy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E6CEB26-212D-43C9-8683-65329F49B93D}">
          <x14:formula1>
            <xm:f>tables!$A$3:$A$10</xm:f>
          </x14:formula1>
          <xm:sqref>C5:C8</xm:sqref>
        </x14:dataValidation>
        <x14:dataValidation type="list" allowBlank="1" showInputMessage="1" showErrorMessage="1" xr:uid="{AA1CC241-2C0D-4E23-8D50-272E8F656CAF}">
          <x14:formula1>
            <xm:f>tables!$D$3:$D$6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1287-C485-4AC5-81F0-511A36A1B851}">
  <dimension ref="A2:AA34"/>
  <sheetViews>
    <sheetView topLeftCell="A2" zoomScale="130" zoomScaleNormal="130" workbookViewId="0">
      <selection activeCell="N24" sqref="N24"/>
    </sheetView>
  </sheetViews>
  <sheetFormatPr defaultRowHeight="15" x14ac:dyDescent="0.25"/>
  <cols>
    <col min="1" max="1" width="10.140625" style="8" bestFit="1" customWidth="1"/>
    <col min="2" max="2" width="13.5703125" style="8" bestFit="1" customWidth="1"/>
    <col min="3" max="3" width="8.42578125" style="8" bestFit="1" customWidth="1"/>
    <col min="4" max="4" width="10.42578125" style="8" bestFit="1" customWidth="1"/>
    <col min="5" max="5" width="10.5703125" style="8" bestFit="1" customWidth="1"/>
    <col min="6" max="6" width="10.140625" style="8" bestFit="1" customWidth="1"/>
    <col min="7" max="7" width="8.42578125" style="8" customWidth="1"/>
    <col min="8" max="8" width="6" style="8" bestFit="1" customWidth="1"/>
    <col min="9" max="9" width="7" style="8" bestFit="1" customWidth="1"/>
    <col min="10" max="11" width="8.85546875" style="8" customWidth="1"/>
    <col min="12" max="12" width="7.85546875" style="8" customWidth="1"/>
    <col min="13" max="13" width="8.7109375" style="8" customWidth="1"/>
    <col min="14" max="14" width="22" style="8" bestFit="1" customWidth="1"/>
    <col min="15" max="15" width="9.42578125" style="8" customWidth="1"/>
    <col min="16" max="16" width="9.7109375" style="8" customWidth="1"/>
    <col min="17" max="17" width="10.5703125" style="8" bestFit="1" customWidth="1"/>
    <col min="18" max="18" width="11.42578125" style="8" bestFit="1" customWidth="1"/>
    <col min="19" max="19" width="11.140625" style="8" customWidth="1"/>
    <col min="20" max="20" width="8.85546875" style="8" bestFit="1" customWidth="1"/>
    <col min="21" max="21" width="7.42578125" style="8" bestFit="1" customWidth="1"/>
    <col min="22" max="22" width="8.28515625" style="8" customWidth="1"/>
    <col min="23" max="23" width="9" style="8" customWidth="1"/>
    <col min="24" max="24" width="10.7109375" style="8" bestFit="1" customWidth="1"/>
    <col min="25" max="25" width="11.42578125" style="8" bestFit="1" customWidth="1"/>
    <col min="26" max="26" width="10.7109375" style="8" bestFit="1" customWidth="1"/>
    <col min="27" max="27" width="11.7109375" style="8" bestFit="1" customWidth="1"/>
    <col min="28" max="29" width="11.5703125" style="8" bestFit="1" customWidth="1"/>
    <col min="30" max="30" width="17.140625" style="8" bestFit="1" customWidth="1"/>
    <col min="31" max="31" width="11.42578125" style="8" bestFit="1" customWidth="1"/>
    <col min="32" max="32" width="17.7109375" style="8" bestFit="1" customWidth="1"/>
    <col min="33" max="16384" width="9.140625" style="8"/>
  </cols>
  <sheetData>
    <row r="2" spans="1:13" s="9" customFormat="1" x14ac:dyDescent="0.25">
      <c r="A2" s="9" t="s">
        <v>27</v>
      </c>
      <c r="B2" s="9" t="s">
        <v>24</v>
      </c>
      <c r="D2" s="9" t="s">
        <v>25</v>
      </c>
      <c r="E2" s="9" t="s">
        <v>26</v>
      </c>
      <c r="F2" s="9" t="s">
        <v>27</v>
      </c>
    </row>
    <row r="3" spans="1:13" x14ac:dyDescent="0.25">
      <c r="A3" s="8" t="s">
        <v>29</v>
      </c>
      <c r="B3" s="8">
        <v>1</v>
      </c>
      <c r="D3" s="8" t="s">
        <v>30</v>
      </c>
      <c r="E3" s="8">
        <v>340</v>
      </c>
      <c r="F3" s="8" t="s">
        <v>22</v>
      </c>
      <c r="I3" s="10"/>
      <c r="J3" s="10"/>
      <c r="K3" s="10"/>
      <c r="L3" s="10"/>
      <c r="M3" s="10"/>
    </row>
    <row r="4" spans="1:13" x14ac:dyDescent="0.25">
      <c r="A4" s="8" t="s">
        <v>8</v>
      </c>
      <c r="B4" s="8">
        <v>1</v>
      </c>
      <c r="D4" s="8" t="s">
        <v>31</v>
      </c>
      <c r="E4" s="8">
        <v>180</v>
      </c>
      <c r="F4" s="8" t="s">
        <v>22</v>
      </c>
    </row>
    <row r="5" spans="1:13" x14ac:dyDescent="0.25">
      <c r="A5" s="8" t="s">
        <v>32</v>
      </c>
      <c r="B5" s="8">
        <v>1</v>
      </c>
      <c r="D5" s="8" t="s">
        <v>33</v>
      </c>
      <c r="E5" s="8">
        <v>100</v>
      </c>
      <c r="F5" s="8" t="s">
        <v>22</v>
      </c>
    </row>
    <row r="6" spans="1:13" x14ac:dyDescent="0.25">
      <c r="A6" s="8" t="s">
        <v>34</v>
      </c>
      <c r="B6" s="8">
        <f>1/60</f>
        <v>1.6666666666666666E-2</v>
      </c>
      <c r="D6" s="8" t="s">
        <v>18</v>
      </c>
      <c r="E6" s="8">
        <v>50</v>
      </c>
      <c r="F6" s="8" t="s">
        <v>22</v>
      </c>
    </row>
    <row r="7" spans="1:13" x14ac:dyDescent="0.25">
      <c r="A7" s="8" t="s">
        <v>13</v>
      </c>
      <c r="B7" s="8">
        <f>1/60</f>
        <v>1.6666666666666666E-2</v>
      </c>
    </row>
    <row r="8" spans="1:13" x14ac:dyDescent="0.25">
      <c r="A8" s="8" t="s">
        <v>22</v>
      </c>
      <c r="B8" s="8">
        <f>1/(3600*1000)</f>
        <v>2.7777777777777776E-7</v>
      </c>
    </row>
    <row r="9" spans="1:13" x14ac:dyDescent="0.25">
      <c r="A9" s="8" t="s">
        <v>36</v>
      </c>
      <c r="B9" s="8">
        <f>1/3600</f>
        <v>2.7777777777777778E-4</v>
      </c>
    </row>
    <row r="10" spans="1:13" x14ac:dyDescent="0.25">
      <c r="A10" s="8" t="s">
        <v>16</v>
      </c>
      <c r="B10" s="8">
        <f>1/3600</f>
        <v>2.7777777777777778E-4</v>
      </c>
    </row>
    <row r="13" spans="1:13" x14ac:dyDescent="0.25">
      <c r="B13" s="8" t="s">
        <v>37</v>
      </c>
      <c r="C13" s="8" t="s">
        <v>4</v>
      </c>
      <c r="D13" s="8" t="s">
        <v>5</v>
      </c>
    </row>
    <row r="14" spans="1:13" x14ac:dyDescent="0.25">
      <c r="B14" s="8" t="s">
        <v>50</v>
      </c>
      <c r="C14" s="8">
        <f>1200*2</f>
        <v>2400</v>
      </c>
      <c r="D14" s="8" t="s">
        <v>21</v>
      </c>
    </row>
    <row r="15" spans="1:13" x14ac:dyDescent="0.25">
      <c r="B15" s="8" t="s">
        <v>38</v>
      </c>
      <c r="C15" s="8">
        <f>C14*0.05</f>
        <v>120</v>
      </c>
      <c r="D15" s="8" t="s">
        <v>20</v>
      </c>
    </row>
    <row r="16" spans="1:13" x14ac:dyDescent="0.25">
      <c r="B16" s="8" t="s">
        <v>39</v>
      </c>
      <c r="C16" s="12">
        <f>C15/(10*365)</f>
        <v>3.287671232876712E-2</v>
      </c>
      <c r="D16" s="8" t="s">
        <v>20</v>
      </c>
    </row>
    <row r="18" spans="1:27" ht="34.5" customHeight="1" thickBot="1" x14ac:dyDescent="0.3">
      <c r="A18" s="10"/>
      <c r="B18" s="10"/>
    </row>
    <row r="19" spans="1:27" ht="15.75" thickBot="1" x14ac:dyDescent="0.3">
      <c r="C19" s="35" t="s">
        <v>65</v>
      </c>
      <c r="D19" s="36"/>
      <c r="E19" s="36"/>
      <c r="F19" s="36"/>
      <c r="G19" s="36"/>
      <c r="H19" s="36"/>
      <c r="I19" s="36"/>
      <c r="J19" s="36"/>
      <c r="K19" s="36"/>
      <c r="L19" s="36"/>
      <c r="M19" s="37"/>
    </row>
    <row r="20" spans="1:27" x14ac:dyDescent="0.25">
      <c r="C20" s="8" t="s">
        <v>20</v>
      </c>
      <c r="D20" s="8" t="s">
        <v>20</v>
      </c>
      <c r="E20" s="8" t="s">
        <v>55</v>
      </c>
      <c r="F20" s="8" t="s">
        <v>20</v>
      </c>
      <c r="G20" s="8" t="s">
        <v>55</v>
      </c>
      <c r="H20" s="8" t="s">
        <v>20</v>
      </c>
      <c r="I20" s="8" t="s">
        <v>55</v>
      </c>
      <c r="J20" s="8" t="s">
        <v>20</v>
      </c>
      <c r="K20" s="8" t="s">
        <v>55</v>
      </c>
      <c r="L20" s="8" t="s">
        <v>21</v>
      </c>
      <c r="M20" s="8" t="s">
        <v>55</v>
      </c>
      <c r="O20" s="8" t="s">
        <v>21</v>
      </c>
      <c r="P20" s="8" t="s">
        <v>21</v>
      </c>
      <c r="Q20" s="8" t="s">
        <v>21</v>
      </c>
      <c r="R20" s="8" t="s">
        <v>21</v>
      </c>
      <c r="S20" s="8" t="s">
        <v>21</v>
      </c>
    </row>
    <row r="21" spans="1:27" s="19" customFormat="1" ht="45" x14ac:dyDescent="0.25">
      <c r="A21" s="15" t="s">
        <v>78</v>
      </c>
      <c r="B21" s="16" t="s">
        <v>28</v>
      </c>
      <c r="C21" s="17" t="s">
        <v>23</v>
      </c>
      <c r="D21" s="17" t="s">
        <v>42</v>
      </c>
      <c r="E21" s="17" t="s">
        <v>40</v>
      </c>
      <c r="F21" s="17" t="s">
        <v>41</v>
      </c>
      <c r="G21" s="17" t="s">
        <v>43</v>
      </c>
      <c r="H21" s="17" t="s">
        <v>44</v>
      </c>
      <c r="I21" s="16" t="s">
        <v>45</v>
      </c>
      <c r="J21" s="17" t="s">
        <v>46</v>
      </c>
      <c r="K21" s="17" t="s">
        <v>47</v>
      </c>
      <c r="L21" s="17" t="s">
        <v>63</v>
      </c>
      <c r="M21" s="17" t="s">
        <v>62</v>
      </c>
      <c r="N21" s="17" t="s">
        <v>49</v>
      </c>
      <c r="O21" s="18" t="s">
        <v>51</v>
      </c>
      <c r="P21" s="18" t="s">
        <v>52</v>
      </c>
      <c r="Q21" s="18" t="s">
        <v>53</v>
      </c>
      <c r="R21" s="18" t="s">
        <v>54</v>
      </c>
      <c r="S21" s="18" t="s">
        <v>64</v>
      </c>
      <c r="T21" s="18" t="s">
        <v>56</v>
      </c>
      <c r="U21" s="18" t="s">
        <v>9</v>
      </c>
      <c r="V21" s="18" t="s">
        <v>57</v>
      </c>
      <c r="W21" s="18" t="s">
        <v>58</v>
      </c>
      <c r="X21" s="18" t="s">
        <v>59</v>
      </c>
      <c r="Y21" s="18" t="s">
        <v>60</v>
      </c>
      <c r="Z21" s="18" t="s">
        <v>66</v>
      </c>
      <c r="AA21" s="18" t="s">
        <v>61</v>
      </c>
    </row>
    <row r="22" spans="1:27" x14ac:dyDescent="0.25">
      <c r="B22" s="8" t="s">
        <v>48</v>
      </c>
      <c r="C22" s="10">
        <v>4.8000000000000001E-2</v>
      </c>
      <c r="D22" s="10">
        <v>1.26</v>
      </c>
      <c r="E22" s="20">
        <f>38/(100*60*60)</f>
        <v>1.0555555555555555E-4</v>
      </c>
      <c r="F22" s="10">
        <v>8.5</v>
      </c>
      <c r="G22" s="21">
        <f>745/(100*60*60)</f>
        <v>2.0694444444444445E-3</v>
      </c>
      <c r="H22" s="10">
        <v>71</v>
      </c>
      <c r="I22" s="21">
        <f>61/(100*60*60)</f>
        <v>1.6944444444444445E-4</v>
      </c>
      <c r="J22" s="10">
        <v>4.7300000000000004</v>
      </c>
      <c r="K22" s="21">
        <f>1115/(100*60*60)</f>
        <v>3.0972222222222221E-3</v>
      </c>
      <c r="L22" s="21">
        <f>RBS306Data[[#This Row],[Pre TXi]]*RBS306Data[[#This Row],[Pre TXt]]+RBS306Data[[#This Row],[TXi]]*RBS306Data[[#This Row],[TXt]]+RBS306Data[[#This Row],[Post TXi]]*RBS306Data[[#This Row],[Post TXt]]</f>
        <v>4.4270694444444446E-2</v>
      </c>
      <c r="M22" s="21">
        <f>SUM(RBS306Data[[#This Row],[Pre TXt]]+RBS306Data[[#This Row],[TXt]]+RBS306Data[[#This Row],[Post TXt]])</f>
        <v>5.3361111111111109E-3</v>
      </c>
      <c r="N22" s="10" t="s">
        <v>35</v>
      </c>
      <c r="O22" s="13">
        <f>24/(SuperN*VLOOKUP(SuperU,Units[],2,0))*RBS306Data[[#This Row],[TXmAH]]</f>
        <v>4.4270694444444446E-2</v>
      </c>
      <c r="P22" s="13">
        <f>24/(LQN*VLOOKUP(LQU,Units[],2,0))*RBS306Data[[#This Row],[TXmAH]]</f>
        <v>8.8541388888888892E-2</v>
      </c>
      <c r="Q22" s="13">
        <f>24/(SensorPN*VLOOKUP(SensorPU,Units[],2,0))*RBS306Data[[#This Row],[TXmAH]]</f>
        <v>4.2499866666666666</v>
      </c>
      <c r="R22" s="13">
        <f>24/(SensorSN*VLOOKUP(SensorSU,Units[],2,0))*(RBS306Data[[#This Row],[Samplei]]*RBS306Data[[#This Row],[Samplet]])</f>
        <v>0.19152000000000002</v>
      </c>
      <c r="S22" s="13">
        <f>RBS306Data[[#This Row],[Sleep]]*(24-((24/(SuperN*VLOOKUP(SuperU,Units[],2,0))*RBS306Data[[#This Row],[TXTotal]])+24/(LQN*VLOOKUP(LQU,Units[],2,0))*RBS306Data[[#This Row],[TXTotal]]+24/(SensorPN*VLOOKUP(SensorPU,Units[],2,0))*RBS306Data[[#This Row],[TXTotal]]+24/(SensorSN*VLOOKUP(SensorSU,Units[],2,0))*(RBS306Data[[#This Row],[Samplet]])))</f>
        <v>1.1193468</v>
      </c>
      <c r="T22" s="13">
        <f>SUM(RBS306Data[[#This Row],[Super message]:[DailySleep]])+BattDischD</f>
        <v>5.726542262328767</v>
      </c>
      <c r="U22" s="14">
        <f>BatterymAh/RBS306Data[[#This Row],[Daily total]]</f>
        <v>419.1010718261968</v>
      </c>
      <c r="V22" s="13">
        <f>RBS306Data[[#This Row],[Super message]]*RBS306Data[[#This Row],[Days]]</f>
        <v>18.553895492156723</v>
      </c>
      <c r="W22" s="13">
        <f>RBS306Data[[#This Row],[LQ message]]*RBS306Data[[#This Row],[Days]]</f>
        <v>37.107790984313446</v>
      </c>
      <c r="X22" s="13">
        <f>RBS306Data[[#This Row],[Sensor Periodic]]*RBS306Data[[#This Row],[Days]]</f>
        <v>1781.1739672470453</v>
      </c>
      <c r="Y22" s="13">
        <f>RBS306Data[[#This Row],[Sensor Sampling]]*RBS306Data[[#This Row],[Days]]</f>
        <v>80.26623727615322</v>
      </c>
      <c r="Z22" s="13">
        <f>RBS306Data[[#This Row],[DailySleep]]*RBS306Data[[#This Row],[Days]]</f>
        <v>469.11944362522354</v>
      </c>
      <c r="AA22" s="13">
        <f>RBS306Data[[#This Row],[Days]]*BattDischD</f>
        <v>13.778665375107838</v>
      </c>
    </row>
    <row r="23" spans="1:27" x14ac:dyDescent="0.25">
      <c r="B23" s="11" t="s">
        <v>67</v>
      </c>
      <c r="C23" s="10">
        <v>0.56999999999999995</v>
      </c>
      <c r="D23" s="11">
        <v>1.32</v>
      </c>
      <c r="E23" s="22">
        <f>5/(100*60*60)</f>
        <v>1.388888888888889E-5</v>
      </c>
      <c r="F23" s="10">
        <v>9.07</v>
      </c>
      <c r="G23" s="23">
        <f>642/(100*60*60)</f>
        <v>1.7833333333333334E-3</v>
      </c>
      <c r="H23" s="10">
        <v>56</v>
      </c>
      <c r="I23" s="23">
        <f>60/(100*60*60)</f>
        <v>1.6666666666666666E-4</v>
      </c>
      <c r="J23" s="10">
        <v>5.34</v>
      </c>
      <c r="K23" s="23">
        <f t="shared" ref="K23:K32" si="0">1115/(100*60*60)</f>
        <v>3.0972222222222221E-3</v>
      </c>
      <c r="L23" s="23">
        <f>RBS306Data[[#This Row],[Pre TXi]]*RBS306Data[[#This Row],[Pre TXt]]+RBS306Data[[#This Row],[TXi]]*RBS306Data[[#This Row],[TXt]]+RBS306Data[[#This Row],[Post TXi]]*RBS306Data[[#This Row],[Post TXt]]</f>
        <v>4.2047333333333332E-2</v>
      </c>
      <c r="M23" s="23">
        <f>SUM(RBS306Data[[#This Row],[Pre TXt]]+RBS306Data[[#This Row],[TXt]]+RBS306Data[[#This Row],[Post TXt]])</f>
        <v>5.047222222222222E-3</v>
      </c>
      <c r="N23" s="10" t="s">
        <v>79</v>
      </c>
      <c r="O23" s="13">
        <f>24/(SuperN*VLOOKUP(SuperU,Units[],2,0))*RBS306Data[[#This Row],[TXmAH]]</f>
        <v>4.2047333333333332E-2</v>
      </c>
      <c r="P23" s="13">
        <f>24/(LQN*VLOOKUP(LQU,Units[],2,0))*RBS306Data[[#This Row],[TXmAH]]</f>
        <v>8.4094666666666665E-2</v>
      </c>
      <c r="Q23" s="13">
        <f>24/(SensorPN*VLOOKUP(SensorPU,Units[],2,0))*RBS306Data[[#This Row],[TXmAH]]</f>
        <v>4.0365440000000001</v>
      </c>
      <c r="R23" s="13">
        <f>24/(SensorSN*VLOOKUP(SensorSU,Units[],2,0))*(RBS306Data[[#This Row],[Samplei]]*RBS306Data[[#This Row],[Samplet]])</f>
        <v>2.6400000000000003E-2</v>
      </c>
      <c r="S23" s="13">
        <f>RBS306Data[[#This Row],[Sleep]]*(24-((24/(SuperN*VLOOKUP(SuperU,Units[],2,0))*RBS306Data[[#This Row],[TXTotal]])+24/(LQN*VLOOKUP(LQU,Units[],2,0))*RBS306Data[[#This Row],[TXTotal]]+24/(SensorPN*VLOOKUP(SensorPU,Units[],2,0))*RBS306Data[[#This Row],[TXTotal]]+24/(SensorSN*VLOOKUP(SensorSU,Units[],2,0))*(RBS306Data[[#This Row],[Samplet]])))</f>
        <v>13.383785249999999</v>
      </c>
      <c r="T23" s="13">
        <f>SUM(RBS306Data[[#This Row],[Super message]:[DailySleep]])+BattDischD</f>
        <v>17.605747962328767</v>
      </c>
      <c r="U23" s="14">
        <f>BatterymAh/RBS306Data[[#This Row],[Daily total]]</f>
        <v>136.31911607137107</v>
      </c>
      <c r="V23" s="13">
        <f>RBS306Data[[#This Row],[Super message]]*RBS306Data[[#This Row],[Days]]</f>
        <v>5.7318553131582961</v>
      </c>
      <c r="W23" s="13">
        <f>RBS306Data[[#This Row],[LQ message]]*RBS306Data[[#This Row],[Days]]</f>
        <v>11.463710626316592</v>
      </c>
      <c r="X23" s="13">
        <f>RBS306Data[[#This Row],[Sensor Periodic]]*RBS306Data[[#This Row],[Days]]</f>
        <v>550.25811006319645</v>
      </c>
      <c r="Y23" s="13">
        <f>RBS306Data[[#This Row],[Sensor Sampling]]*RBS306Data[[#This Row],[Days]]</f>
        <v>3.5988246642841966</v>
      </c>
      <c r="Z23" s="13">
        <f>RBS306Data[[#This Row],[DailySleep]]*RBS306Data[[#This Row],[Days]]</f>
        <v>1824.4657749690539</v>
      </c>
      <c r="AA23" s="13">
        <f>RBS306Data[[#This Row],[Days]]*BattDischD</f>
        <v>4.4817243639902813</v>
      </c>
    </row>
    <row r="24" spans="1:27" x14ac:dyDescent="0.25">
      <c r="B24" s="8" t="s">
        <v>69</v>
      </c>
      <c r="C24" s="10">
        <v>2.9700000000000001E-2</v>
      </c>
      <c r="D24" s="11">
        <v>0</v>
      </c>
      <c r="E24" s="22">
        <f>0/(100*60*60)</f>
        <v>0</v>
      </c>
      <c r="F24" s="10">
        <v>8.3000000000000007</v>
      </c>
      <c r="G24" s="21">
        <f>680/(100*60*60)</f>
        <v>1.888888888888889E-3</v>
      </c>
      <c r="H24" s="10">
        <v>57</v>
      </c>
      <c r="I24" s="23">
        <f t="shared" ref="I24:I32" si="1">51/(100*60*60)</f>
        <v>1.4166666666666668E-4</v>
      </c>
      <c r="J24" s="10">
        <v>4.7699999999999996</v>
      </c>
      <c r="K24" s="23">
        <f t="shared" si="0"/>
        <v>3.0972222222222221E-3</v>
      </c>
      <c r="L24" s="23">
        <f>RBS306Data[[#This Row],[Pre TXi]]*RBS306Data[[#This Row],[Pre TXt]]+RBS306Data[[#This Row],[TXi]]*RBS306Data[[#This Row],[TXt]]+RBS306Data[[#This Row],[Post TXi]]*RBS306Data[[#This Row],[Post TXt]]</f>
        <v>3.8526527777777778E-2</v>
      </c>
      <c r="M24" s="23">
        <f>SUM(RBS306Data[[#This Row],[Pre TXt]]+RBS306Data[[#This Row],[TXt]]+RBS306Data[[#This Row],[Post TXt]])</f>
        <v>5.127777777777778E-3</v>
      </c>
      <c r="N24" s="11" t="s">
        <v>35</v>
      </c>
      <c r="O24" s="13">
        <f>24/(SuperN*VLOOKUP(SuperU,Units[],2,0))*RBS306Data[[#This Row],[TXmAH]]</f>
        <v>3.8526527777777778E-2</v>
      </c>
      <c r="P24" s="13">
        <f>24/(LQN*VLOOKUP(LQU,Units[],2,0))*RBS306Data[[#This Row],[TXmAH]]</f>
        <v>7.7053055555555555E-2</v>
      </c>
      <c r="Q24" s="13">
        <f>24/(SensorPN*VLOOKUP(SensorPU,Units[],2,0))*RBS306Data[[#This Row],[TXmAH]]</f>
        <v>3.6985466666666666</v>
      </c>
      <c r="R24" s="13">
        <f>24/(SensorSN*VLOOKUP(SensorSU,Units[],2,0))*(RBS306Data[[#This Row],[Samplei]]*RBS306Data[[#This Row],[Samplet]])</f>
        <v>0</v>
      </c>
      <c r="S24" s="13">
        <f>RBS306Data[[#This Row],[Sleep]]*(24-((24/(SuperN*VLOOKUP(SuperU,Units[],2,0))*RBS306Data[[#This Row],[TXTotal]])+24/(LQN*VLOOKUP(LQU,Units[],2,0))*RBS306Data[[#This Row],[TXTotal]]+24/(SensorPN*VLOOKUP(SensorPU,Units[],2,0))*RBS306Data[[#This Row],[TXTotal]]+24/(SensorSN*VLOOKUP(SensorSU,Units[],2,0))*(RBS306Data[[#This Row],[Samplet]])))</f>
        <v>0.69772279500000001</v>
      </c>
      <c r="T24" s="13">
        <f>SUM(RBS306Data[[#This Row],[Super message]:[DailySleep]])+BattDischD</f>
        <v>4.5447257573287674</v>
      </c>
      <c r="U24" s="14">
        <f>BatterymAh/RBS306Data[[#This Row],[Daily total]]</f>
        <v>528.08466960405485</v>
      </c>
      <c r="V24" s="13">
        <f>RBS306Data[[#This Row],[Super message]]*RBS306Data[[#This Row],[Days]]</f>
        <v>20.34526869251922</v>
      </c>
      <c r="W24" s="13">
        <f>RBS306Data[[#This Row],[LQ message]]*RBS306Data[[#This Row],[Days]]</f>
        <v>40.690537385038439</v>
      </c>
      <c r="X24" s="13">
        <f>RBS306Data[[#This Row],[Sensor Periodic]]*RBS306Data[[#This Row],[Days]]</f>
        <v>1953.1457944818451</v>
      </c>
      <c r="Y24" s="13">
        <f>RBS306Data[[#This Row],[Sensor Sampling]]*RBS306Data[[#This Row],[Days]]</f>
        <v>0</v>
      </c>
      <c r="Z24" s="13">
        <f>RBS306Data[[#This Row],[DailySleep]]*RBS306Data[[#This Row],[Days]]</f>
        <v>368.45671167279272</v>
      </c>
      <c r="AA24" s="13">
        <f>RBS306Data[[#This Row],[Days]]*BattDischD</f>
        <v>17.36168776780454</v>
      </c>
    </row>
    <row r="25" spans="1:27" x14ac:dyDescent="0.25">
      <c r="B25" s="8" t="s">
        <v>70</v>
      </c>
      <c r="C25" s="10">
        <v>2.5499999999999998E-2</v>
      </c>
      <c r="D25" s="11">
        <v>1.61</v>
      </c>
      <c r="E25" s="22">
        <f>3/(100*60*60)</f>
        <v>8.3333333333333337E-6</v>
      </c>
      <c r="F25" s="10">
        <v>7.81</v>
      </c>
      <c r="G25" s="21">
        <f>670/(100*60*60)</f>
        <v>1.8611111111111111E-3</v>
      </c>
      <c r="H25" s="10">
        <v>56.6</v>
      </c>
      <c r="I25" s="23">
        <f>60/(100*60*60)</f>
        <v>1.6666666666666666E-4</v>
      </c>
      <c r="J25" s="10">
        <v>4.25</v>
      </c>
      <c r="K25" s="23">
        <f t="shared" si="0"/>
        <v>3.0972222222222221E-3</v>
      </c>
      <c r="L25" s="23">
        <f>RBS306Data[[#This Row],[Pre TXi]]*RBS306Data[[#This Row],[Pre TXt]]+RBS306Data[[#This Row],[TXi]]*RBS306Data[[#This Row],[TXt]]+RBS306Data[[#This Row],[Post TXi]]*RBS306Data[[#This Row],[Post TXt]]</f>
        <v>3.7131805555555557E-2</v>
      </c>
      <c r="M25" s="23">
        <f>SUM(RBS306Data[[#This Row],[Pre TXt]]+RBS306Data[[#This Row],[TXt]]+RBS306Data[[#This Row],[Post TXt]])</f>
        <v>5.1249999999999993E-3</v>
      </c>
      <c r="N25" s="11" t="s">
        <v>35</v>
      </c>
      <c r="O25" s="13">
        <f>24/(SuperN*VLOOKUP(SuperU,Units[],2,0))*RBS306Data[[#This Row],[TXmAH]]</f>
        <v>3.7131805555555557E-2</v>
      </c>
      <c r="P25" s="13">
        <f>24/(LQN*VLOOKUP(LQU,Units[],2,0))*RBS306Data[[#This Row],[TXmAH]]</f>
        <v>7.4263611111111114E-2</v>
      </c>
      <c r="Q25" s="13">
        <f>24/(SensorPN*VLOOKUP(SensorPU,Units[],2,0))*RBS306Data[[#This Row],[TXmAH]]</f>
        <v>3.5646533333333332</v>
      </c>
      <c r="R25" s="13">
        <f>24/(SensorSN*VLOOKUP(SensorSU,Units[],2,0))*(RBS306Data[[#This Row],[Samplei]]*RBS306Data[[#This Row],[Samplet]])</f>
        <v>1.932E-2</v>
      </c>
      <c r="S25" s="13">
        <f>RBS306Data[[#This Row],[Sleep]]*(24-((24/(SuperN*VLOOKUP(SuperU,Units[],2,0))*RBS306Data[[#This Row],[TXTotal]])+24/(LQN*VLOOKUP(LQU,Units[],2,0))*RBS306Data[[#This Row],[TXTotal]]+24/(SensorPN*VLOOKUP(SensorPU,Units[],2,0))*RBS306Data[[#This Row],[TXTotal]]+24/(SensorSN*VLOOKUP(SensorSU,Units[],2,0))*(RBS306Data[[#This Row],[Samplet]])))</f>
        <v>0.5987559375</v>
      </c>
      <c r="T25" s="13">
        <f>SUM(RBS306Data[[#This Row],[Super message]:[DailySleep]])+BattDischD</f>
        <v>4.3270013998287675</v>
      </c>
      <c r="U25" s="14">
        <f>BatterymAh/RBS306Data[[#This Row],[Daily total]]</f>
        <v>554.65662666413175</v>
      </c>
      <c r="V25" s="13">
        <f>RBS306Data[[#This Row],[Super message]]*RBS306Data[[#This Row],[Days]]</f>
        <v>20.595402011392913</v>
      </c>
      <c r="W25" s="13">
        <f>RBS306Data[[#This Row],[LQ message]]*RBS306Data[[#This Row],[Days]]</f>
        <v>41.190804022785827</v>
      </c>
      <c r="X25" s="13">
        <f>RBS306Data[[#This Row],[Sensor Periodic]]*RBS306Data[[#This Row],[Days]]</f>
        <v>1977.1585930937194</v>
      </c>
      <c r="Y25" s="13">
        <f>RBS306Data[[#This Row],[Sensor Sampling]]*RBS306Data[[#This Row],[Days]]</f>
        <v>10.715966027151026</v>
      </c>
      <c r="Z25" s="13">
        <f>RBS306Data[[#This Row],[DailySleep]]*RBS306Data[[#This Row],[Days]]</f>
        <v>332.10394848886972</v>
      </c>
      <c r="AA25" s="13">
        <f>RBS306Data[[#This Row],[Days]]*BattDischD</f>
        <v>18.235286356081041</v>
      </c>
    </row>
    <row r="26" spans="1:27" x14ac:dyDescent="0.25">
      <c r="B26" s="8" t="s">
        <v>71</v>
      </c>
      <c r="C26" s="10">
        <v>3.2300000000000002E-2</v>
      </c>
      <c r="D26" s="11">
        <v>1.48</v>
      </c>
      <c r="E26" s="22">
        <f>213/(100*60*60)</f>
        <v>5.9166666666666666E-4</v>
      </c>
      <c r="F26" s="10">
        <v>8.1</v>
      </c>
      <c r="G26" s="21">
        <f>657/(100*60*60)</f>
        <v>1.825E-3</v>
      </c>
      <c r="H26" s="10">
        <v>55</v>
      </c>
      <c r="I26" s="23">
        <f t="shared" si="1"/>
        <v>1.4166666666666668E-4</v>
      </c>
      <c r="J26" s="10">
        <v>4.53</v>
      </c>
      <c r="K26" s="23">
        <f t="shared" si="0"/>
        <v>3.0972222222222221E-3</v>
      </c>
      <c r="L26" s="23">
        <f>RBS306Data[[#This Row],[Pre TXi]]*RBS306Data[[#This Row],[Pre TXt]]+RBS306Data[[#This Row],[TXi]]*RBS306Data[[#This Row],[TXt]]+RBS306Data[[#This Row],[Post TXi]]*RBS306Data[[#This Row],[Post TXt]]</f>
        <v>3.6604583333333329E-2</v>
      </c>
      <c r="M26" s="23">
        <f>SUM(RBS306Data[[#This Row],[Pre TXt]]+RBS306Data[[#This Row],[TXt]]+RBS306Data[[#This Row],[Post TXt]])</f>
        <v>5.0638888888888886E-3</v>
      </c>
      <c r="N26" s="11" t="s">
        <v>35</v>
      </c>
      <c r="O26" s="13">
        <f>24/(SuperN*VLOOKUP(SuperU,Units[],2,0))*RBS306Data[[#This Row],[TXmAH]]</f>
        <v>3.6604583333333329E-2</v>
      </c>
      <c r="P26" s="13">
        <f>24/(LQN*VLOOKUP(LQU,Units[],2,0))*RBS306Data[[#This Row],[TXmAH]]</f>
        <v>7.3209166666666659E-2</v>
      </c>
      <c r="Q26" s="13">
        <f>24/(SensorPN*VLOOKUP(SensorPU,Units[],2,0))*RBS306Data[[#This Row],[TXmAH]]</f>
        <v>3.5140399999999996</v>
      </c>
      <c r="R26" s="13">
        <f>24/(SensorSN*VLOOKUP(SensorSU,Units[],2,0))*(RBS306Data[[#This Row],[Samplei]]*RBS306Data[[#This Row],[Samplet]])</f>
        <v>1.2609599999999999</v>
      </c>
      <c r="S26" s="13">
        <f>RBS306Data[[#This Row],[Sleep]]*(24-((24/(SuperN*VLOOKUP(SuperU,Units[],2,0))*RBS306Data[[#This Row],[TXTotal]])+24/(LQN*VLOOKUP(LQU,Units[],2,0))*RBS306Data[[#This Row],[TXTotal]]+24/(SensorPN*VLOOKUP(SensorPU,Units[],2,0))*RBS306Data[[#This Row],[TXTotal]]+24/(SensorSN*VLOOKUP(SensorSU,Units[],2,0))*(RBS306Data[[#This Row],[Samplet]])))</f>
        <v>0.73148760250000011</v>
      </c>
      <c r="T26" s="13">
        <f>SUM(RBS306Data[[#This Row],[Super message]:[DailySleep]])+BattDischD</f>
        <v>5.6491780648287664</v>
      </c>
      <c r="U26" s="14">
        <f>BatterymAh/RBS306Data[[#This Row],[Daily total]]</f>
        <v>424.8405648499853</v>
      </c>
      <c r="V26" s="13">
        <f>RBS306Data[[#This Row],[Super message]]*RBS306Data[[#This Row],[Days]]</f>
        <v>15.551111859431689</v>
      </c>
      <c r="W26" s="13">
        <f>RBS306Data[[#This Row],[LQ message]]*RBS306Data[[#This Row],[Days]]</f>
        <v>31.102223718863378</v>
      </c>
      <c r="X26" s="13">
        <f>RBS306Data[[#This Row],[Sensor Periodic]]*RBS306Data[[#This Row],[Days]]</f>
        <v>1492.9067385054423</v>
      </c>
      <c r="Y26" s="13">
        <f>RBS306Data[[#This Row],[Sensor Sampling]]*RBS306Data[[#This Row],[Days]]</f>
        <v>535.70695865323739</v>
      </c>
      <c r="Z26" s="13">
        <f>RBS306Data[[#This Row],[DailySleep]]*RBS306Data[[#This Row],[Days]]</f>
        <v>310.76560622686156</v>
      </c>
      <c r="AA26" s="13">
        <f>RBS306Data[[#This Row],[Days]]*BattDischD</f>
        <v>13.967361036163899</v>
      </c>
    </row>
    <row r="27" spans="1:27" x14ac:dyDescent="0.25">
      <c r="B27" s="8" t="s">
        <v>76</v>
      </c>
      <c r="C27" s="10">
        <v>3.1E-2</v>
      </c>
      <c r="D27" s="11">
        <v>1.5</v>
      </c>
      <c r="E27" s="22">
        <f>365/(100*60*60)</f>
        <v>1.0138888888888888E-3</v>
      </c>
      <c r="F27" s="10">
        <v>8.6</v>
      </c>
      <c r="G27" s="23">
        <f>690/(100*60*60)</f>
        <v>1.9166666666666666E-3</v>
      </c>
      <c r="H27" s="10">
        <v>58</v>
      </c>
      <c r="I27" s="23">
        <f>60/(100*60*60)</f>
        <v>1.6666666666666666E-4</v>
      </c>
      <c r="J27" s="10">
        <v>4.84</v>
      </c>
      <c r="K27" s="23">
        <f t="shared" si="0"/>
        <v>3.0972222222222221E-3</v>
      </c>
      <c r="L27" s="23">
        <f>RBS306Data[[#This Row],[Pre TXi]]*RBS306Data[[#This Row],[Pre TXt]]+RBS306Data[[#This Row],[TXi]]*RBS306Data[[#This Row],[TXt]]+RBS306Data[[#This Row],[Post TXi]]*RBS306Data[[#This Row],[Post TXt]]</f>
        <v>4.1140555555555555E-2</v>
      </c>
      <c r="M27" s="23">
        <f>SUM(RBS306Data[[#This Row],[Pre TXt]]+RBS306Data[[#This Row],[TXt]]+RBS306Data[[#This Row],[Post TXt]])</f>
        <v>5.1805555555555554E-3</v>
      </c>
      <c r="N27" s="11" t="s">
        <v>35</v>
      </c>
      <c r="O27" s="13">
        <f>24/(SuperN*VLOOKUP(SuperU,Units[],2,0))*RBS306Data[[#This Row],[TXmAH]]</f>
        <v>4.1140555555555555E-2</v>
      </c>
      <c r="P27" s="13">
        <f>24/(LQN*VLOOKUP(LQU,Units[],2,0))*RBS306Data[[#This Row],[TXmAH]]</f>
        <v>8.228111111111111E-2</v>
      </c>
      <c r="Q27" s="13">
        <f>24/(SensorPN*VLOOKUP(SensorPU,Units[],2,0))*RBS306Data[[#This Row],[TXmAH]]</f>
        <v>3.9494933333333333</v>
      </c>
      <c r="R27" s="13">
        <f>24/(SensorSN*VLOOKUP(SensorSU,Units[],2,0))*(RBS306Data[[#This Row],[Samplei]]*RBS306Data[[#This Row],[Samplet]])</f>
        <v>2.19</v>
      </c>
      <c r="S27" s="13">
        <f>RBS306Data[[#This Row],[Sleep]]*(24-((24/(SuperN*VLOOKUP(SuperU,Units[],2,0))*RBS306Data[[#This Row],[TXTotal]])+24/(LQN*VLOOKUP(LQU,Units[],2,0))*RBS306Data[[#This Row],[TXTotal]]+24/(SensorPN*VLOOKUP(SensorPU,Units[],2,0))*RBS306Data[[#This Row],[TXTotal]]+24/(SensorSN*VLOOKUP(SensorSU,Units[],2,0))*(RBS306Data[[#This Row],[Samplet]])))</f>
        <v>0.68284087500000001</v>
      </c>
      <c r="T27" s="13">
        <f>SUM(RBS306Data[[#This Row],[Super message]:[DailySleep]])+BattDischD</f>
        <v>6.9786325873287671</v>
      </c>
      <c r="U27" s="14">
        <f>BatterymAh/RBS306Data[[#This Row],[Daily total]]</f>
        <v>343.90691442299521</v>
      </c>
      <c r="V27" s="13">
        <f>RBS306Data[[#This Row],[Super message]]*RBS306Data[[#This Row],[Days]]</f>
        <v>14.148521518758924</v>
      </c>
      <c r="W27" s="13">
        <f>RBS306Data[[#This Row],[LQ message]]*RBS306Data[[#This Row],[Days]]</f>
        <v>28.297043037517849</v>
      </c>
      <c r="X27" s="13">
        <f>RBS306Data[[#This Row],[Sensor Periodic]]*RBS306Data[[#This Row],[Days]]</f>
        <v>1358.2580658008567</v>
      </c>
      <c r="Y27" s="13">
        <f>RBS306Data[[#This Row],[Sensor Sampling]]*RBS306Data[[#This Row],[Days]]</f>
        <v>753.15614258635946</v>
      </c>
      <c r="Z27" s="13">
        <f>RBS306Data[[#This Row],[DailySleep]]*RBS306Data[[#This Row],[Days]]</f>
        <v>234.83369836314819</v>
      </c>
      <c r="AA27" s="13">
        <f>RBS306Data[[#This Row],[Days]]*BattDischD</f>
        <v>11.306528693358747</v>
      </c>
    </row>
    <row r="28" spans="1:27" x14ac:dyDescent="0.25">
      <c r="B28" s="24" t="s">
        <v>73</v>
      </c>
      <c r="C28" s="25">
        <v>4.6699999999999998E-2</v>
      </c>
      <c r="D28" s="26">
        <v>2.44</v>
      </c>
      <c r="E28" s="27">
        <f t="shared" ref="E28:E32" si="2">25/(100*60*60)</f>
        <v>6.9444444444444444E-5</v>
      </c>
      <c r="F28" s="25">
        <v>8.3000000000000007</v>
      </c>
      <c r="G28" s="28">
        <f t="shared" ref="G28:G32" si="3">760/(100*60*60)</f>
        <v>2.1111111111111109E-3</v>
      </c>
      <c r="H28" s="25">
        <v>56.7</v>
      </c>
      <c r="I28" s="29">
        <f t="shared" si="1"/>
        <v>1.4166666666666668E-4</v>
      </c>
      <c r="J28" s="25">
        <v>4.5</v>
      </c>
      <c r="K28" s="29">
        <f t="shared" si="0"/>
        <v>3.0972222222222221E-3</v>
      </c>
      <c r="L28" s="29">
        <f>RBS306Data[[#This Row],[Pre TXi]]*RBS306Data[[#This Row],[Pre TXt]]+RBS306Data[[#This Row],[TXi]]*RBS306Data[[#This Row],[TXt]]+RBS306Data[[#This Row],[Post TXi]]*RBS306Data[[#This Row],[Post TXt]]</f>
        <v>3.9492222222222227E-2</v>
      </c>
      <c r="M28" s="29">
        <f>SUM(RBS306Data[[#This Row],[Pre TXt]]+RBS306Data[[#This Row],[TXt]]+RBS306Data[[#This Row],[Post TXt]])</f>
        <v>5.3499999999999997E-3</v>
      </c>
      <c r="N28" s="26" t="s">
        <v>35</v>
      </c>
      <c r="O28" s="30">
        <f>24/(SuperN*VLOOKUP(SuperU,Units[],2,0))*RBS306Data[[#This Row],[TXmAH]]</f>
        <v>3.9492222222222227E-2</v>
      </c>
      <c r="P28" s="30">
        <f>24/(LQN*VLOOKUP(LQU,Units[],2,0))*RBS306Data[[#This Row],[TXmAH]]</f>
        <v>7.8984444444444454E-2</v>
      </c>
      <c r="Q28" s="30">
        <f>24/(SensorPN*VLOOKUP(SensorPU,Units[],2,0))*RBS306Data[[#This Row],[TXmAH]]</f>
        <v>3.7912533333333336</v>
      </c>
      <c r="R28" s="30">
        <f>24/(SensorSN*VLOOKUP(SensorSU,Units[],2,0))*(RBS306Data[[#This Row],[Samplei]]*RBS306Data[[#This Row],[Samplet]])</f>
        <v>0.24399999999999999</v>
      </c>
      <c r="S28" s="30">
        <f>RBS306Data[[#This Row],[Sleep]]*(24-((24/(SuperN*VLOOKUP(SuperU,Units[],2,0))*RBS306Data[[#This Row],[TXTotal]])+24/(LQN*VLOOKUP(LQU,Units[],2,0))*RBS306Data[[#This Row],[TXTotal]]+24/(SensorPN*VLOOKUP(SensorPU,Units[],2,0))*RBS306Data[[#This Row],[TXTotal]]+24/(SensorSN*VLOOKUP(SensorSU,Units[],2,0))*(RBS306Data[[#This Row],[Samplet]])))</f>
        <v>1.0913953449999998</v>
      </c>
      <c r="T28" s="30">
        <f>SUM(RBS306Data[[#This Row],[Super message]:[DailySleep]])+BattDischD</f>
        <v>5.2780020573287674</v>
      </c>
      <c r="U28" s="31">
        <f>BatterymAh/RBS306Data[[#This Row],[Daily total]]</f>
        <v>454.71751885118749</v>
      </c>
      <c r="V28" s="30">
        <f>RBS306Data[[#This Row],[Super message]]*RBS306Data[[#This Row],[Days]]</f>
        <v>17.95780530280862</v>
      </c>
      <c r="W28" s="30">
        <f>RBS306Data[[#This Row],[LQ message]]*RBS306Data[[#This Row],[Days]]</f>
        <v>35.915610605617239</v>
      </c>
      <c r="X28" s="30">
        <f>RBS306Data[[#This Row],[Sensor Periodic]]*RBS306Data[[#This Row],[Days]]</f>
        <v>1723.9493090696276</v>
      </c>
      <c r="Y28" s="30">
        <f>RBS306Data[[#This Row],[Sensor Sampling]]*RBS306Data[[#This Row],[Days]]</f>
        <v>110.95107459968975</v>
      </c>
      <c r="Z28" s="30">
        <f>RBS306Data[[#This Row],[DailySleep]]*RBS306Data[[#This Row],[Days]]</f>
        <v>496.27658336413566</v>
      </c>
      <c r="AA28" s="30">
        <f>RBS306Data[[#This Row],[Days]]*BattDischD</f>
        <v>14.94961705812123</v>
      </c>
    </row>
    <row r="29" spans="1:27" x14ac:dyDescent="0.25">
      <c r="B29" s="8" t="s">
        <v>74</v>
      </c>
      <c r="C29" s="10">
        <v>3.1E-2</v>
      </c>
      <c r="D29" s="11">
        <v>1.5</v>
      </c>
      <c r="E29" s="20">
        <f t="shared" si="2"/>
        <v>6.9444444444444444E-5</v>
      </c>
      <c r="F29" s="10">
        <v>8.3000000000000007</v>
      </c>
      <c r="G29" s="21">
        <f t="shared" si="3"/>
        <v>2.1111111111111109E-3</v>
      </c>
      <c r="H29" s="10">
        <v>56.7</v>
      </c>
      <c r="I29" s="23">
        <f t="shared" si="1"/>
        <v>1.4166666666666668E-4</v>
      </c>
      <c r="J29" s="10">
        <v>4.53</v>
      </c>
      <c r="K29" s="23">
        <f t="shared" si="0"/>
        <v>3.0972222222222221E-3</v>
      </c>
      <c r="L29" s="23">
        <f>RBS306Data[[#This Row],[Pre TXi]]*RBS306Data[[#This Row],[Pre TXt]]+RBS306Data[[#This Row],[TXi]]*RBS306Data[[#This Row],[TXt]]+RBS306Data[[#This Row],[Post TXi]]*RBS306Data[[#This Row],[Post TXt]]</f>
        <v>3.9585138888888892E-2</v>
      </c>
      <c r="M29" s="23">
        <f>SUM(RBS306Data[[#This Row],[Pre TXt]]+RBS306Data[[#This Row],[TXt]]+RBS306Data[[#This Row],[Post TXt]])</f>
        <v>5.3499999999999997E-3</v>
      </c>
      <c r="N29" s="11" t="s">
        <v>77</v>
      </c>
      <c r="O29" s="13">
        <f>24/(SuperN*VLOOKUP(SuperU,Units[],2,0))*RBS306Data[[#This Row],[TXmAH]]</f>
        <v>3.9585138888888892E-2</v>
      </c>
      <c r="P29" s="13">
        <f>24/(LQN*VLOOKUP(LQU,Units[],2,0))*RBS306Data[[#This Row],[TXmAH]]</f>
        <v>7.9170277777777784E-2</v>
      </c>
      <c r="Q29" s="13">
        <f>24/(SensorPN*VLOOKUP(SensorPU,Units[],2,0))*RBS306Data[[#This Row],[TXmAH]]</f>
        <v>3.8001733333333334</v>
      </c>
      <c r="R29" s="13">
        <f>24/(SensorSN*VLOOKUP(SensorSU,Units[],2,0))*(RBS306Data[[#This Row],[Samplei]]*RBS306Data[[#This Row],[Samplet]])</f>
        <v>0.15</v>
      </c>
      <c r="S29" s="13">
        <f>RBS306Data[[#This Row],[Sleep]]*(24-((24/(SuperN*VLOOKUP(SuperU,Units[],2,0))*RBS306Data[[#This Row],[TXTotal]])+24/(LQN*VLOOKUP(LQU,Units[],2,0))*RBS306Data[[#This Row],[TXTotal]]+24/(SensorPN*VLOOKUP(SensorPU,Units[],2,0))*RBS306Data[[#This Row],[TXTotal]]+24/(SensorSN*VLOOKUP(SensorSU,Units[],2,0))*(RBS306Data[[#This Row],[Samplet]])))</f>
        <v>0.72448084999999995</v>
      </c>
      <c r="T29" s="13">
        <f>SUM(RBS306Data[[#This Row],[Super message]:[DailySleep]])+BattDischD</f>
        <v>4.8262863123287678</v>
      </c>
      <c r="U29" s="14">
        <f>BatterymAh/RBS306Data[[#This Row],[Daily total]]</f>
        <v>497.27675580895198</v>
      </c>
      <c r="V29" s="13">
        <f>RBS306Data[[#This Row],[Super message]]*RBS306Data[[#This Row],[Days]]</f>
        <v>19.684769444913449</v>
      </c>
      <c r="W29" s="13">
        <f>RBS306Data[[#This Row],[LQ message]]*RBS306Data[[#This Row],[Days]]</f>
        <v>39.369538889826899</v>
      </c>
      <c r="X29" s="13">
        <f>RBS306Data[[#This Row],[Sensor Periodic]]*RBS306Data[[#This Row],[Days]]</f>
        <v>1889.7378667116911</v>
      </c>
      <c r="Y29" s="13">
        <f>RBS306Data[[#This Row],[Sensor Sampling]]*RBS306Data[[#This Row],[Days]]</f>
        <v>74.591513371342799</v>
      </c>
      <c r="Z29" s="13">
        <f>RBS306Data[[#This Row],[DailySleep]]*RBS306Data[[#This Row],[Days]]</f>
        <v>360.26748673371196</v>
      </c>
      <c r="AA29" s="13">
        <f>RBS306Data[[#This Row],[Days]]*BattDischD</f>
        <v>16.348824848513487</v>
      </c>
    </row>
    <row r="30" spans="1:27" x14ac:dyDescent="0.25">
      <c r="B30" s="8" t="s">
        <v>75</v>
      </c>
      <c r="C30" s="10">
        <v>3.1E-2</v>
      </c>
      <c r="D30" s="11">
        <v>1.5</v>
      </c>
      <c r="E30" s="20">
        <f t="shared" si="2"/>
        <v>6.9444444444444444E-5</v>
      </c>
      <c r="F30" s="10">
        <v>8.3000000000000007</v>
      </c>
      <c r="G30" s="21">
        <f t="shared" si="3"/>
        <v>2.1111111111111109E-3</v>
      </c>
      <c r="H30" s="10">
        <v>56.7</v>
      </c>
      <c r="I30" s="23">
        <f t="shared" si="1"/>
        <v>1.4166666666666668E-4</v>
      </c>
      <c r="J30" s="10">
        <v>4.53</v>
      </c>
      <c r="K30" s="23">
        <f t="shared" si="0"/>
        <v>3.0972222222222221E-3</v>
      </c>
      <c r="L30" s="23">
        <f>RBS306Data[[#This Row],[Pre TXi]]*RBS306Data[[#This Row],[Pre TXt]]+RBS306Data[[#This Row],[TXi]]*RBS306Data[[#This Row],[TXt]]+RBS306Data[[#This Row],[Post TXi]]*RBS306Data[[#This Row],[Post TXt]]</f>
        <v>3.9585138888888892E-2</v>
      </c>
      <c r="M30" s="23">
        <f>SUM(RBS306Data[[#This Row],[Pre TXt]]+RBS306Data[[#This Row],[TXt]]+RBS306Data[[#This Row],[Post TXt]])</f>
        <v>5.3499999999999997E-3</v>
      </c>
      <c r="N30" s="11" t="s">
        <v>77</v>
      </c>
      <c r="O30" s="13">
        <f>24/(SuperN*VLOOKUP(SuperU,Units[],2,0))*RBS306Data[[#This Row],[TXmAH]]</f>
        <v>3.9585138888888892E-2</v>
      </c>
      <c r="P30" s="13">
        <f>24/(LQN*VLOOKUP(LQU,Units[],2,0))*RBS306Data[[#This Row],[TXmAH]]</f>
        <v>7.9170277777777784E-2</v>
      </c>
      <c r="Q30" s="13">
        <f>24/(SensorPN*VLOOKUP(SensorPU,Units[],2,0))*RBS306Data[[#This Row],[TXmAH]]</f>
        <v>3.8001733333333334</v>
      </c>
      <c r="R30" s="13">
        <f>24/(SensorSN*VLOOKUP(SensorSU,Units[],2,0))*(RBS306Data[[#This Row],[Samplei]]*RBS306Data[[#This Row],[Samplet]])</f>
        <v>0.15</v>
      </c>
      <c r="S30" s="13">
        <f>RBS306Data[[#This Row],[Sleep]]*(24-((24/(SuperN*VLOOKUP(SuperU,Units[],2,0))*RBS306Data[[#This Row],[TXTotal]])+24/(LQN*VLOOKUP(LQU,Units[],2,0))*RBS306Data[[#This Row],[TXTotal]]+24/(SensorPN*VLOOKUP(SensorPU,Units[],2,0))*RBS306Data[[#This Row],[TXTotal]]+24/(SensorSN*VLOOKUP(SensorSU,Units[],2,0))*(RBS306Data[[#This Row],[Samplet]])))</f>
        <v>0.72448084999999995</v>
      </c>
      <c r="T30" s="13">
        <f>SUM(RBS306Data[[#This Row],[Super message]:[DailySleep]])+BattDischD</f>
        <v>4.8262863123287678</v>
      </c>
      <c r="U30" s="14">
        <f>BatterymAh/RBS306Data[[#This Row],[Daily total]]</f>
        <v>497.27675580895198</v>
      </c>
      <c r="V30" s="13">
        <f>RBS306Data[[#This Row],[Super message]]*RBS306Data[[#This Row],[Days]]</f>
        <v>19.684769444913449</v>
      </c>
      <c r="W30" s="13">
        <f>RBS306Data[[#This Row],[LQ message]]*RBS306Data[[#This Row],[Days]]</f>
        <v>39.369538889826899</v>
      </c>
      <c r="X30" s="13">
        <f>RBS306Data[[#This Row],[Sensor Periodic]]*RBS306Data[[#This Row],[Days]]</f>
        <v>1889.7378667116911</v>
      </c>
      <c r="Y30" s="13">
        <f>RBS306Data[[#This Row],[Sensor Sampling]]*RBS306Data[[#This Row],[Days]]</f>
        <v>74.591513371342799</v>
      </c>
      <c r="Z30" s="13">
        <f>RBS306Data[[#This Row],[DailySleep]]*RBS306Data[[#This Row],[Days]]</f>
        <v>360.26748673371196</v>
      </c>
      <c r="AA30" s="13">
        <f>RBS306Data[[#This Row],[Days]]*BattDischD</f>
        <v>16.348824848513487</v>
      </c>
    </row>
    <row r="31" spans="1:27" x14ac:dyDescent="0.25">
      <c r="B31" s="8" t="s">
        <v>68</v>
      </c>
      <c r="C31" s="10">
        <v>3.1E-2</v>
      </c>
      <c r="D31" s="11">
        <v>1.5</v>
      </c>
      <c r="E31" s="22">
        <f t="shared" si="2"/>
        <v>6.9444444444444444E-5</v>
      </c>
      <c r="F31" s="10">
        <v>8.3000000000000007</v>
      </c>
      <c r="G31" s="23">
        <f t="shared" si="3"/>
        <v>2.1111111111111109E-3</v>
      </c>
      <c r="H31" s="10">
        <v>56.7</v>
      </c>
      <c r="I31" s="23">
        <f t="shared" si="1"/>
        <v>1.4166666666666668E-4</v>
      </c>
      <c r="J31" s="10">
        <v>4.53</v>
      </c>
      <c r="K31" s="23">
        <f t="shared" si="0"/>
        <v>3.0972222222222221E-3</v>
      </c>
      <c r="L31" s="23">
        <f>RBS306Data[[#This Row],[Pre TXi]]*RBS306Data[[#This Row],[Pre TXt]]+RBS306Data[[#This Row],[TXi]]*RBS306Data[[#This Row],[TXt]]+RBS306Data[[#This Row],[Post TXi]]*RBS306Data[[#This Row],[Post TXt]]</f>
        <v>3.9585138888888892E-2</v>
      </c>
      <c r="M31" s="23">
        <f>SUM(RBS306Data[[#This Row],[Pre TXt]]+RBS306Data[[#This Row],[TXt]]+RBS306Data[[#This Row],[Post TXt]])</f>
        <v>5.3499999999999997E-3</v>
      </c>
      <c r="N31" s="11" t="s">
        <v>77</v>
      </c>
      <c r="O31" s="13">
        <f>24/(SuperN*VLOOKUP(SuperU,Units[],2,0))*RBS306Data[[#This Row],[TXmAH]]</f>
        <v>3.9585138888888892E-2</v>
      </c>
      <c r="P31" s="13">
        <f>24/(LQN*VLOOKUP(LQU,Units[],2,0))*RBS306Data[[#This Row],[TXmAH]]</f>
        <v>7.9170277777777784E-2</v>
      </c>
      <c r="Q31" s="13">
        <f>24/(SensorPN*VLOOKUP(SensorPU,Units[],2,0))*RBS306Data[[#This Row],[TXmAH]]</f>
        <v>3.8001733333333334</v>
      </c>
      <c r="R31" s="13">
        <f>24/(SensorSN*VLOOKUP(SensorSU,Units[],2,0))*(RBS306Data[[#This Row],[Samplei]]*RBS306Data[[#This Row],[Samplet]])</f>
        <v>0.15</v>
      </c>
      <c r="S31" s="13">
        <f>RBS306Data[[#This Row],[Sleep]]*(24-((24/(SuperN*VLOOKUP(SuperU,Units[],2,0))*RBS306Data[[#This Row],[TXTotal]])+24/(LQN*VLOOKUP(LQU,Units[],2,0))*RBS306Data[[#This Row],[TXTotal]]+24/(SensorPN*VLOOKUP(SensorPU,Units[],2,0))*RBS306Data[[#This Row],[TXTotal]]+24/(SensorSN*VLOOKUP(SensorSU,Units[],2,0))*(RBS306Data[[#This Row],[Samplet]])))</f>
        <v>0.72448084999999995</v>
      </c>
      <c r="T31" s="13">
        <f>SUM(RBS306Data[[#This Row],[Super message]:[DailySleep]])+BattDischD</f>
        <v>4.8262863123287678</v>
      </c>
      <c r="U31" s="14">
        <f>BatterymAh/RBS306Data[[#This Row],[Daily total]]</f>
        <v>497.27675580895198</v>
      </c>
      <c r="V31" s="13">
        <f>RBS306Data[[#This Row],[Super message]]*RBS306Data[[#This Row],[Days]]</f>
        <v>19.684769444913449</v>
      </c>
      <c r="W31" s="13">
        <f>RBS306Data[[#This Row],[LQ message]]*RBS306Data[[#This Row],[Days]]</f>
        <v>39.369538889826899</v>
      </c>
      <c r="X31" s="13">
        <f>RBS306Data[[#This Row],[Sensor Periodic]]*RBS306Data[[#This Row],[Days]]</f>
        <v>1889.7378667116911</v>
      </c>
      <c r="Y31" s="13">
        <f>RBS306Data[[#This Row],[Sensor Sampling]]*RBS306Data[[#This Row],[Days]]</f>
        <v>74.591513371342799</v>
      </c>
      <c r="Z31" s="13">
        <f>RBS306Data[[#This Row],[DailySleep]]*RBS306Data[[#This Row],[Days]]</f>
        <v>360.26748673371196</v>
      </c>
      <c r="AA31" s="13">
        <f>RBS306Data[[#This Row],[Days]]*BattDischD</f>
        <v>16.348824848513487</v>
      </c>
    </row>
    <row r="32" spans="1:27" x14ac:dyDescent="0.25">
      <c r="B32" s="8" t="s">
        <v>72</v>
      </c>
      <c r="C32" s="10">
        <v>3.1E-2</v>
      </c>
      <c r="D32" s="11">
        <v>1.5</v>
      </c>
      <c r="E32" s="22">
        <f t="shared" si="2"/>
        <v>6.9444444444444444E-5</v>
      </c>
      <c r="F32" s="10">
        <v>8.3000000000000007</v>
      </c>
      <c r="G32" s="23">
        <f t="shared" si="3"/>
        <v>2.1111111111111109E-3</v>
      </c>
      <c r="H32" s="10">
        <v>56.7</v>
      </c>
      <c r="I32" s="23">
        <f t="shared" si="1"/>
        <v>1.4166666666666668E-4</v>
      </c>
      <c r="J32" s="10">
        <v>4.53</v>
      </c>
      <c r="K32" s="23">
        <f t="shared" si="0"/>
        <v>3.0972222222222221E-3</v>
      </c>
      <c r="L32" s="23">
        <f>RBS306Data[[#This Row],[Pre TXi]]*RBS306Data[[#This Row],[Pre TXt]]+RBS306Data[[#This Row],[TXi]]*RBS306Data[[#This Row],[TXt]]+RBS306Data[[#This Row],[Post TXi]]*RBS306Data[[#This Row],[Post TXt]]</f>
        <v>3.9585138888888892E-2</v>
      </c>
      <c r="M32" s="23">
        <f>SUM(RBS306Data[[#This Row],[Pre TXt]]+RBS306Data[[#This Row],[TXt]]+RBS306Data[[#This Row],[Post TXt]])</f>
        <v>5.3499999999999997E-3</v>
      </c>
      <c r="N32" s="11" t="s">
        <v>77</v>
      </c>
      <c r="O32" s="13">
        <f>24/(SuperN*VLOOKUP(SuperU,Units[],2,0))*RBS306Data[[#This Row],[TXmAH]]</f>
        <v>3.9585138888888892E-2</v>
      </c>
      <c r="P32" s="13">
        <f>24/(LQN*VLOOKUP(LQU,Units[],2,0))*RBS306Data[[#This Row],[TXmAH]]</f>
        <v>7.9170277777777784E-2</v>
      </c>
      <c r="Q32" s="13">
        <f>24/(SensorPN*VLOOKUP(SensorPU,Units[],2,0))*RBS306Data[[#This Row],[TXmAH]]</f>
        <v>3.8001733333333334</v>
      </c>
      <c r="R32" s="13">
        <f>24/(SensorSN*VLOOKUP(SensorSU,Units[],2,0))*(RBS306Data[[#This Row],[Samplei]]*RBS306Data[[#This Row],[Samplet]])</f>
        <v>0.15</v>
      </c>
      <c r="S32" s="13">
        <f>RBS306Data[[#This Row],[Sleep]]*(24-((24/(SuperN*VLOOKUP(SuperU,Units[],2,0))*RBS306Data[[#This Row],[TXTotal]])+24/(LQN*VLOOKUP(LQU,Units[],2,0))*RBS306Data[[#This Row],[TXTotal]]+24/(SensorPN*VLOOKUP(SensorPU,Units[],2,0))*RBS306Data[[#This Row],[TXTotal]]+24/(SensorSN*VLOOKUP(SensorSU,Units[],2,0))*(RBS306Data[[#This Row],[Samplet]])))</f>
        <v>0.72448084999999995</v>
      </c>
      <c r="T32" s="13">
        <f>SUM(RBS306Data[[#This Row],[Super message]:[DailySleep]])+BattDischD</f>
        <v>4.8262863123287678</v>
      </c>
      <c r="U32" s="14">
        <f>BatterymAh/RBS306Data[[#This Row],[Daily total]]</f>
        <v>497.27675580895198</v>
      </c>
      <c r="V32" s="13">
        <f>RBS306Data[[#This Row],[Super message]]*RBS306Data[[#This Row],[Days]]</f>
        <v>19.684769444913449</v>
      </c>
      <c r="W32" s="13">
        <f>RBS306Data[[#This Row],[LQ message]]*RBS306Data[[#This Row],[Days]]</f>
        <v>39.369538889826899</v>
      </c>
      <c r="X32" s="13">
        <f>RBS306Data[[#This Row],[Sensor Periodic]]*RBS306Data[[#This Row],[Days]]</f>
        <v>1889.7378667116911</v>
      </c>
      <c r="Y32" s="13">
        <f>RBS306Data[[#This Row],[Sensor Sampling]]*RBS306Data[[#This Row],[Days]]</f>
        <v>74.591513371342799</v>
      </c>
      <c r="Z32" s="13">
        <f>RBS306Data[[#This Row],[DailySleep]]*RBS306Data[[#This Row],[Days]]</f>
        <v>360.26748673371196</v>
      </c>
      <c r="AA32" s="13">
        <f>RBS306Data[[#This Row],[Days]]*BattDischD</f>
        <v>16.348824848513487</v>
      </c>
    </row>
    <row r="34" ht="15.75" customHeight="1" x14ac:dyDescent="0.25"/>
  </sheetData>
  <sheetProtection selectLockedCells="1" selectUnlockedCells="1"/>
  <mergeCells count="1">
    <mergeCell ref="C19:M19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43a0746-4427-4b5c-9fdd-d3dfa25a1562">
      <UserInfo>
        <DisplayName>Ethan Houle</DisplayName>
        <AccountId>16</AccountId>
        <AccountType/>
      </UserInfo>
      <UserInfo>
        <DisplayName>Aaron Kramer</DisplayName>
        <AccountId>23</AccountId>
        <AccountType/>
      </UserInfo>
      <UserInfo>
        <DisplayName>Steve Kovarik</DisplayName>
        <AccountId>117</AccountId>
        <AccountType/>
      </UserInfo>
    </SharedWithUsers>
    <_activity xmlns="af2e5f93-11eb-4396-ad56-93671871d1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78ECDCFF01B94A8AE7D2E84C711A04" ma:contentTypeVersion="16" ma:contentTypeDescription="Create a new document." ma:contentTypeScope="" ma:versionID="f88c424f5558b35e822cf9bdbf569359">
  <xsd:schema xmlns:xsd="http://www.w3.org/2001/XMLSchema" xmlns:xs="http://www.w3.org/2001/XMLSchema" xmlns:p="http://schemas.microsoft.com/office/2006/metadata/properties" xmlns:ns3="af2e5f93-11eb-4396-ad56-93671871d1eb" xmlns:ns4="343a0746-4427-4b5c-9fdd-d3dfa25a1562" targetNamespace="http://schemas.microsoft.com/office/2006/metadata/properties" ma:root="true" ma:fieldsID="7d88673f6598c17db046338b5e8d0dd8" ns3:_="" ns4:_="">
    <xsd:import namespace="af2e5f93-11eb-4396-ad56-93671871d1eb"/>
    <xsd:import namespace="343a0746-4427-4b5c-9fdd-d3dfa25a156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e5f93-11eb-4396-ad56-93671871d1e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3a0746-4427-4b5c-9fdd-d3dfa25a156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F88AA3-8A89-4AE4-95E9-4C01742A793B}">
  <ds:schemaRefs>
    <ds:schemaRef ds:uri="343a0746-4427-4b5c-9fdd-d3dfa25a1562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af2e5f93-11eb-4396-ad56-93671871d1eb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FF62DE1-2972-4BDC-B9E2-43595894D5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e5f93-11eb-4396-ad56-93671871d1eb"/>
    <ds:schemaRef ds:uri="343a0746-4427-4b5c-9fdd-d3dfa25a1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6F0FEB-02EF-4661-8DA6-47EFE71762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Main</vt:lpstr>
      <vt:lpstr>tables</vt:lpstr>
      <vt:lpstr>BattDischD</vt:lpstr>
      <vt:lpstr>BatterymAh</vt:lpstr>
      <vt:lpstr>Devices</vt:lpstr>
      <vt:lpstr>DeviceType</vt:lpstr>
      <vt:lpstr>LQN</vt:lpstr>
      <vt:lpstr>LQU</vt:lpstr>
      <vt:lpstr>SensorPN</vt:lpstr>
      <vt:lpstr>SensorPU</vt:lpstr>
      <vt:lpstr>SensorSN</vt:lpstr>
      <vt:lpstr>SensorSU</vt:lpstr>
      <vt:lpstr>SuperN</vt:lpstr>
      <vt:lpstr>SuperU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Kilts</dc:creator>
  <cp:keywords/>
  <dc:description/>
  <cp:lastModifiedBy>Nick Klein</cp:lastModifiedBy>
  <cp:revision/>
  <dcterms:created xsi:type="dcterms:W3CDTF">2014-08-07T19:26:21Z</dcterms:created>
  <dcterms:modified xsi:type="dcterms:W3CDTF">2026-06-24T12:33:56Z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ContentTypeId">
    <vt:lpwstr>0x0101002078ECDCFF01B94A8AE7D2E84C711A04</vt:lpwstr>
  </property>
  <property fmtid="{D5CDD505-2E9C-101B-9397-08002B2CF9AE}" pid="4" name="MediaServiceImageTags">
    <vt:lpwstr/>
  </property>
</Properties>
</file>