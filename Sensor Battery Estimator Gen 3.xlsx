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lein\Downloads\"/>
    </mc:Choice>
  </mc:AlternateContent>
  <xr:revisionPtr revIDLastSave="0" documentId="13_ncr:1_{C111670A-40FE-4EF9-AB2D-1CA4C087B5E5}" xr6:coauthVersionLast="47" xr6:coauthVersionMax="47" xr10:uidLastSave="{00000000-0000-0000-0000-000000000000}"/>
  <workbookProtection workbookAlgorithmName="SHA-512" workbookHashValue="1pL6+Zlz+73OY5uRFmOWgMgjQ2tCxnIRAv3i00nQ20saoJG618nUsICA2rkrFV6SMAKK0h/O6RtYrAbLoGprGQ==" workbookSaltValue="BJIsIQ8nlpjdjYdIhatS/w==" workbookSpinCount="100000" lockStructure="1"/>
  <bookViews>
    <workbookView xWindow="0" yWindow="0" windowWidth="28800" windowHeight="17550" xr2:uid="{00000000-000D-0000-FFFF-FFFF00000000}"/>
  </bookViews>
  <sheets>
    <sheet name="Main" sheetId="16" r:id="rId1"/>
    <sheet name="Calculations" sheetId="13" state="hidden" r:id="rId2"/>
    <sheet name="tables" sheetId="14" state="hidden" r:id="rId3"/>
  </sheets>
  <definedNames>
    <definedName name="_xlnm._FilterDatabase" localSheetId="1" hidden="1">Calculations!$B$5:$N$15</definedName>
    <definedName name="Battery">Calculations!$C$3</definedName>
    <definedName name="Devices">DevicePower[Device]</definedName>
    <definedName name="DeviceType">Main!$B$1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3" l="1"/>
  <c r="M16" i="13" s="1"/>
  <c r="E1" i="16"/>
  <c r="C15" i="13"/>
  <c r="C14" i="13"/>
  <c r="C13" i="13"/>
  <c r="C12" i="13"/>
  <c r="C11" i="13"/>
  <c r="C10" i="13"/>
  <c r="C9" i="13"/>
  <c r="C8" i="13"/>
  <c r="C7" i="13"/>
  <c r="C6" i="13"/>
  <c r="E8" i="13"/>
  <c r="E7" i="13"/>
  <c r="E6" i="13"/>
  <c r="I9" i="13"/>
  <c r="I8" i="13"/>
  <c r="I7" i="13"/>
  <c r="I6" i="13"/>
  <c r="H9" i="13"/>
  <c r="H8" i="13"/>
  <c r="H7" i="13"/>
  <c r="H6" i="13"/>
  <c r="E14" i="13" l="1"/>
  <c r="J7" i="13"/>
  <c r="K7" i="13" s="1"/>
  <c r="J6" i="13"/>
  <c r="K6" i="13" s="1"/>
  <c r="B9" i="14"/>
  <c r="B6" i="14"/>
  <c r="B8" i="14"/>
  <c r="G11" i="13" s="1"/>
  <c r="D11" i="13" s="1"/>
  <c r="B10" i="14"/>
  <c r="B7" i="14"/>
  <c r="G14" i="13" l="1"/>
  <c r="G12" i="13"/>
  <c r="D12" i="13" s="1"/>
  <c r="J13" i="13"/>
  <c r="K13" i="13" s="1"/>
  <c r="G13" i="13"/>
  <c r="D13" i="13" s="1"/>
  <c r="J9" i="13"/>
  <c r="K9" i="13" s="1"/>
  <c r="G7" i="13"/>
  <c r="D7" i="13" s="1"/>
  <c r="G8" i="13"/>
  <c r="D8" i="13" s="1"/>
  <c r="G6" i="13"/>
  <c r="D6" i="13" s="1"/>
  <c r="J8" i="13"/>
  <c r="K8" i="13" s="1"/>
  <c r="G9" i="13"/>
  <c r="D9" i="13" s="1"/>
  <c r="G10" i="13"/>
  <c r="D10" i="13" s="1"/>
  <c r="L13" i="13" l="1"/>
  <c r="M13" i="13" s="1"/>
  <c r="L7" i="13"/>
  <c r="M7" i="13" s="1"/>
  <c r="K10" i="13"/>
  <c r="L10" i="13" s="1"/>
  <c r="M10" i="13" s="1"/>
  <c r="L8" i="13"/>
  <c r="M8" i="13" s="1"/>
  <c r="L9" i="13"/>
  <c r="M9" i="13" s="1"/>
  <c r="L6" i="13"/>
  <c r="M6" i="13" s="1"/>
  <c r="K12" i="13" l="1"/>
  <c r="L12" i="13" s="1"/>
  <c r="M12" i="13" s="1"/>
  <c r="K11" i="13"/>
  <c r="L11" i="13" s="1"/>
  <c r="M11" i="13" s="1"/>
  <c r="K14" i="13"/>
  <c r="L14" i="13" s="1"/>
  <c r="M14" i="13" s="1"/>
  <c r="L15" i="13"/>
  <c r="M15" i="13" s="1"/>
  <c r="D3" i="13" l="1"/>
  <c r="N16" i="13" s="1"/>
  <c r="F3" i="13" l="1"/>
  <c r="F7" i="16" s="1"/>
  <c r="E3" i="13"/>
  <c r="F6" i="16" s="1"/>
  <c r="F5" i="16"/>
  <c r="N6" i="13"/>
  <c r="N8" i="13"/>
  <c r="N12" i="13"/>
  <c r="N10" i="13"/>
  <c r="N11" i="13"/>
  <c r="N9" i="13"/>
  <c r="N7" i="13"/>
  <c r="N13" i="13"/>
  <c r="N14" i="13"/>
  <c r="N1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Klein</author>
  </authors>
  <commentList>
    <comment ref="B1" authorId="0" shapeId="0" xr:uid="{627EE2DC-79CD-4439-87C3-190C318B022A}">
      <text>
        <r>
          <rPr>
            <b/>
            <sz val="9"/>
            <color indexed="81"/>
            <rFont val="Tahoma"/>
            <family val="2"/>
          </rPr>
          <t>Choose device here</t>
        </r>
      </text>
    </comment>
    <comment ref="A5" authorId="0" shapeId="0" xr:uid="{652A0356-34FE-4457-9004-5EE8F79879A7}">
      <text>
        <r>
          <rPr>
            <sz val="9"/>
            <color indexed="81"/>
            <rFont val="Tahoma"/>
            <family val="2"/>
          </rPr>
          <t>Super message uplink interval</t>
        </r>
      </text>
    </comment>
    <comment ref="A6" authorId="0" shapeId="0" xr:uid="{310C05A0-0CD1-4B7B-8A27-AAD75FF6B47D}">
      <text>
        <r>
          <rPr>
            <sz val="9"/>
            <color indexed="81"/>
            <rFont val="Tahoma"/>
            <family val="2"/>
          </rPr>
          <t>Link Quality message uplink interval</t>
        </r>
      </text>
    </comment>
    <comment ref="A7" authorId="0" shapeId="0" xr:uid="{1D3EB5D5-90A9-418E-8153-B05E4D4ED7F9}">
      <text>
        <r>
          <rPr>
            <sz val="9"/>
            <color indexed="81"/>
            <rFont val="Tahoma"/>
            <family val="2"/>
          </rPr>
          <t>Sensor message uplink interval.
Set to "0" to disable periodic reporting.</t>
        </r>
      </text>
    </comment>
    <comment ref="A8" authorId="0" shapeId="0" xr:uid="{6FBC71D2-DA5A-4FF0-9EBF-1C7E5E140C90}">
      <text>
        <r>
          <rPr>
            <sz val="9"/>
            <color indexed="81"/>
            <rFont val="Tahoma"/>
            <family val="2"/>
          </rPr>
          <t>Rate the sensor is checked</t>
        </r>
      </text>
    </comment>
    <comment ref="B9" authorId="0" shapeId="0" xr:uid="{E8135FDB-27FF-44CA-8D73-D7E1E195B19B}">
      <text>
        <r>
          <rPr>
            <sz val="9"/>
            <color indexed="81"/>
            <rFont val="Tahoma"/>
            <family val="2"/>
          </rPr>
          <t>DR0 is worst case, with ADR on typically you will be at DR3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Klein</author>
  </authors>
  <commentList>
    <comment ref="B16" authorId="0" shapeId="0" xr:uid="{5E8A7844-FE58-4461-AE44-133B4E7257C4}">
      <text>
        <r>
          <rPr>
            <b/>
            <sz val="9"/>
            <color indexed="81"/>
            <rFont val="Tahoma"/>
            <family val="2"/>
          </rPr>
          <t>Nick Klein:</t>
        </r>
        <r>
          <rPr>
            <sz val="9"/>
            <color indexed="81"/>
            <rFont val="Tahoma"/>
            <family val="2"/>
          </rPr>
          <t xml:space="preserve">
From: Panasonic's website. 
Research yields a more effective choice of electrolyte solvent, which forms a protective film over lithium to prevent ionization and self-discharge while in storage. In addition, calcination treatment conditions were set to prevent MnO2 from leaching into the electrolyte, slowing
the rate of self-discharge. Cylindrical Lithium boasts a self-discharge rate of less than 5 %
after 10 years*, so properly stored batteries are always ready when you need them.
* CR123, when stored at 20 °C, 100 Ω continuous discharge (discharge cutoff voltage: 2 V).
</t>
        </r>
      </text>
    </comment>
  </commentList>
</comments>
</file>

<file path=xl/sharedStrings.xml><?xml version="1.0" encoding="utf-8"?>
<sst xmlns="http://schemas.openxmlformats.org/spreadsheetml/2006/main" count="136" uniqueCount="76">
  <si>
    <t>Device:</t>
  </si>
  <si>
    <t>PULSE</t>
  </si>
  <si>
    <t>Enter data in tan areas</t>
  </si>
  <si>
    <t>Battery life</t>
  </si>
  <si>
    <t>Sensor Configuration</t>
  </si>
  <si>
    <t>Value</t>
  </si>
  <si>
    <t>Units</t>
  </si>
  <si>
    <t>Duration</t>
  </si>
  <si>
    <t>Supervisory period</t>
  </si>
  <si>
    <t>Hours</t>
  </si>
  <si>
    <t>Days</t>
  </si>
  <si>
    <t>Link Quality period</t>
  </si>
  <si>
    <t>Months</t>
  </si>
  <si>
    <t>Sensor periodic reporting</t>
  </si>
  <si>
    <t>Min</t>
  </si>
  <si>
    <t>Years</t>
  </si>
  <si>
    <t>Sensor sampling rate</t>
  </si>
  <si>
    <t>Sec</t>
  </si>
  <si>
    <t>Data Rate</t>
  </si>
  <si>
    <t>DR3</t>
  </si>
  <si>
    <t>----</t>
  </si>
  <si>
    <t>00000001</t>
  </si>
  <si>
    <t>TXP = Max</t>
  </si>
  <si>
    <t>118.6mA</t>
  </si>
  <si>
    <t>Battery capacity (mAh)</t>
  </si>
  <si>
    <t>TXP = 10</t>
  </si>
  <si>
    <t>41mA</t>
  </si>
  <si>
    <t>Condition</t>
  </si>
  <si>
    <t>mA</t>
  </si>
  <si>
    <t>mAh</t>
  </si>
  <si>
    <t>Unit</t>
  </si>
  <si>
    <t>Period</t>
  </si>
  <si>
    <t>Daily Freq</t>
  </si>
  <si>
    <t>Hours / day</t>
  </si>
  <si>
    <t>Daily mAh</t>
  </si>
  <si>
    <t>Lifetime mAh</t>
  </si>
  <si>
    <t>Super period</t>
  </si>
  <si>
    <t>mS</t>
  </si>
  <si>
    <t>LQ period</t>
  </si>
  <si>
    <t>Sensor uplink period</t>
  </si>
  <si>
    <t>Reading sensor(s)</t>
  </si>
  <si>
    <t xml:space="preserve">RX </t>
  </si>
  <si>
    <t>Wake</t>
  </si>
  <si>
    <t>Shutdown</t>
  </si>
  <si>
    <t>Watchdog</t>
  </si>
  <si>
    <t>Active</t>
  </si>
  <si>
    <t>Sleep</t>
  </si>
  <si>
    <t>Battery self-discharge</t>
  </si>
  <si>
    <t>Intervals</t>
  </si>
  <si>
    <t>Multiplier</t>
  </si>
  <si>
    <t>DR</t>
  </si>
  <si>
    <t>TOA</t>
  </si>
  <si>
    <t>Interval</t>
  </si>
  <si>
    <t>Device</t>
  </si>
  <si>
    <t>Done</t>
  </si>
  <si>
    <t>H</t>
  </si>
  <si>
    <t>DR0</t>
  </si>
  <si>
    <t>ABM</t>
  </si>
  <si>
    <t>Estimated</t>
  </si>
  <si>
    <t>DR1</t>
  </si>
  <si>
    <t>ATH</t>
  </si>
  <si>
    <t>Hrs</t>
  </si>
  <si>
    <t>DR2</t>
  </si>
  <si>
    <t>CON</t>
  </si>
  <si>
    <t>M</t>
  </si>
  <si>
    <t>DWS</t>
  </si>
  <si>
    <t>DWS+ATH</t>
  </si>
  <si>
    <t>Measured</t>
  </si>
  <si>
    <t>S</t>
  </si>
  <si>
    <t>TEMP-EXT</t>
  </si>
  <si>
    <t>TEMP-INT</t>
  </si>
  <si>
    <t>TEMP-INT S2S</t>
  </si>
  <si>
    <t>THAW</t>
  </si>
  <si>
    <t>TILT</t>
  </si>
  <si>
    <t>WAT</t>
  </si>
  <si>
    <t>WRxM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</si>
</sst>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000"/>
    <numFmt numFmtId="166" formatCode="_(* #,##0.0000_);_(* \(#,##0.0000\);_(* &quot;-&quot;??_);_(@_)"/>
    <numFmt numFmtId="167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0" fillId="5" borderId="0" xfId="0" applyFill="1" applyAlignment="1" applyProtection="1">
      <alignment horizontal="left"/>
      <protection locked="0"/>
    </xf>
    <xf numFmtId="0" fontId="0" fillId="0" borderId="0" xfId="0" quotePrefix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hidden="1"/>
    </xf>
    <xf numFmtId="0" fontId="0" fillId="0" borderId="0" xfId="0" quotePrefix="1" applyAlignment="1" applyProtection="1">
      <alignment horizontal="left"/>
      <protection hidden="1"/>
    </xf>
    <xf numFmtId="164" fontId="0" fillId="0" borderId="0" xfId="0" applyNumberFormat="1" applyAlignment="1" applyProtection="1">
      <alignment horizontal="left"/>
      <protection hidden="1"/>
    </xf>
    <xf numFmtId="0" fontId="1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167" fontId="0" fillId="0" borderId="0" xfId="0" applyNumberFormat="1" applyProtection="1">
      <protection hidden="1"/>
    </xf>
    <xf numFmtId="0" fontId="0" fillId="3" borderId="0" xfId="0" applyFill="1" applyProtection="1">
      <protection hidden="1"/>
    </xf>
    <xf numFmtId="0" fontId="0" fillId="4" borderId="0" xfId="0" applyFill="1" applyProtection="1">
      <protection hidden="1"/>
    </xf>
    <xf numFmtId="166" fontId="0" fillId="0" borderId="0" xfId="1" applyNumberFormat="1" applyFont="1" applyProtection="1">
      <protection hidden="1"/>
    </xf>
    <xf numFmtId="43" fontId="0" fillId="0" borderId="0" xfId="0" applyNumberForma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wrapText="1"/>
      <protection hidden="1"/>
    </xf>
    <xf numFmtId="0" fontId="2" fillId="0" borderId="0" xfId="0" applyFont="1" applyProtection="1">
      <protection hidden="1"/>
    </xf>
    <xf numFmtId="0" fontId="6" fillId="5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Protection="1">
      <protection hidden="1"/>
    </xf>
  </cellXfs>
  <cellStyles count="2">
    <cellStyle name="Comma" xfId="1" builtinId="3"/>
    <cellStyle name="Normal" xfId="0" builtinId="0"/>
  </cellStyles>
  <dxfs count="32">
    <dxf>
      <fill>
        <patternFill patternType="none">
          <fgColor indexed="64"/>
          <bgColor indexed="65"/>
        </patternFill>
      </fill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alignment horizontal="general" vertical="bottom" textRotation="0" wrapText="1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alignment horizontal="general" vertical="bottom" textRotation="0" wrapText="1" indent="0" justifyLastLine="0" shrinkToFit="0" readingOrder="0"/>
      <protection locked="1" hidden="1"/>
    </dxf>
    <dxf>
      <numFmt numFmtId="164" formatCode="0.0"/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protection locked="1" hidden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Lifetime mAh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41991263605806E-2"/>
          <c:y val="3.8329463196810812E-2"/>
          <c:w val="0.93676645178371143"/>
          <c:h val="0.599063079323254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Calculations!$B$6</c:f>
              <c:strCache>
                <c:ptCount val="1"/>
                <c:pt idx="0">
                  <c:v>Super period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Calculations!$N$6</c:f>
              <c:numCache>
                <c:formatCode>General</c:formatCode>
                <c:ptCount val="1"/>
                <c:pt idx="0">
                  <c:v>14.143577221564653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C-47BD-8981-153E0D663977}"/>
            </c:ext>
          </c:extLst>
        </c:ser>
        <c:ser>
          <c:idx val="1"/>
          <c:order val="1"/>
          <c:tx>
            <c:strRef>
              <c:f>Calculations!$B$7</c:f>
              <c:strCache>
                <c:ptCount val="1"/>
                <c:pt idx="0">
                  <c:v>LQ period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Calculations!$N$7</c:f>
              <c:numCache>
                <c:formatCode>General</c:formatCode>
                <c:ptCount val="1"/>
                <c:pt idx="0">
                  <c:v>14.143577221564653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1C-47BD-8981-153E0D663977}"/>
            </c:ext>
          </c:extLst>
        </c:ser>
        <c:ser>
          <c:idx val="2"/>
          <c:order val="2"/>
          <c:tx>
            <c:strRef>
              <c:f>Calculations!$B$8</c:f>
              <c:strCache>
                <c:ptCount val="1"/>
                <c:pt idx="0">
                  <c:v>Sensor uplink period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Calculations!$N$8</c:f>
              <c:numCache>
                <c:formatCode>General</c:formatCode>
                <c:ptCount val="1"/>
                <c:pt idx="0">
                  <c:v>339.44585331755167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1C-47BD-8981-153E0D663977}"/>
            </c:ext>
          </c:extLst>
        </c:ser>
        <c:ser>
          <c:idx val="3"/>
          <c:order val="3"/>
          <c:tx>
            <c:strRef>
              <c:f>Calculations!$B$9</c:f>
              <c:strCache>
                <c:ptCount val="1"/>
                <c:pt idx="0">
                  <c:v>Reading sensor(s)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Calculations!$N$9</c:f>
              <c:numCache>
                <c:formatCode>General</c:formatCode>
                <c:ptCount val="1"/>
                <c:pt idx="0">
                  <c:v>21.982385878187056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1C-47BD-8981-153E0D663977}"/>
            </c:ext>
          </c:extLst>
        </c:ser>
        <c:ser>
          <c:idx val="4"/>
          <c:order val="4"/>
          <c:tx>
            <c:strRef>
              <c:f>Calculations!$B$10</c:f>
              <c:strCache>
                <c:ptCount val="1"/>
                <c:pt idx="0">
                  <c:v>RX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Calculations!$N$10</c:f>
              <c:numCache>
                <c:formatCode>General</c:formatCode>
                <c:ptCount val="1"/>
                <c:pt idx="0">
                  <c:v>159.5849576068353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1C-47BD-8981-153E0D663977}"/>
            </c:ext>
          </c:extLst>
        </c:ser>
        <c:ser>
          <c:idx val="5"/>
          <c:order val="5"/>
          <c:tx>
            <c:strRef>
              <c:f>Calculations!$B$11</c:f>
              <c:strCache>
                <c:ptCount val="1"/>
                <c:pt idx="0">
                  <c:v>Wake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Calculations!$N$11</c:f>
              <c:numCache>
                <c:formatCode>General</c:formatCode>
                <c:ptCount val="1"/>
                <c:pt idx="0">
                  <c:v>30.153027749510034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1C-47BD-8981-153E0D663977}"/>
            </c:ext>
          </c:extLst>
        </c:ser>
        <c:ser>
          <c:idx val="6"/>
          <c:order val="6"/>
          <c:tx>
            <c:strRef>
              <c:f>Calculations!$B$12</c:f>
              <c:strCache>
                <c:ptCount val="1"/>
                <c:pt idx="0">
                  <c:v>Shutdown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Calculations!$N$12</c:f>
              <c:numCache>
                <c:formatCode>General</c:formatCode>
                <c:ptCount val="1"/>
                <c:pt idx="0">
                  <c:v>30.841870104364514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1C-47BD-8981-153E0D663977}"/>
            </c:ext>
          </c:extLst>
        </c:ser>
        <c:ser>
          <c:idx val="7"/>
          <c:order val="7"/>
          <c:tx>
            <c:strRef>
              <c:f>Calculations!$B$13</c:f>
              <c:strCache>
                <c:ptCount val="1"/>
                <c:pt idx="0">
                  <c:v>Watchdog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Calculations!$N$13</c:f>
              <c:numCache>
                <c:formatCode>General</c:formatCode>
                <c:ptCount val="1"/>
                <c:pt idx="0">
                  <c:v>35.640598818901914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1C-47BD-8981-153E0D663977}"/>
            </c:ext>
          </c:extLst>
        </c:ser>
        <c:ser>
          <c:idx val="8"/>
          <c:order val="8"/>
          <c:tx>
            <c:strRef>
              <c:f>Calculations!$B$14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Calculations!$N$14</c:f>
              <c:numCache>
                <c:formatCode>General</c:formatCode>
                <c:ptCount val="1"/>
                <c:pt idx="0">
                  <c:v>161.0444226874402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1C-47BD-8981-153E0D663977}"/>
            </c:ext>
          </c:extLst>
        </c:ser>
        <c:ser>
          <c:idx val="9"/>
          <c:order val="9"/>
          <c:tx>
            <c:strRef>
              <c:f>Calculations!$B$15</c:f>
              <c:strCache>
                <c:ptCount val="1"/>
                <c:pt idx="0">
                  <c:v>Sleep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Calculations!$N$15</c:f>
              <c:numCache>
                <c:formatCode>General</c:formatCode>
                <c:ptCount val="1"/>
                <c:pt idx="0">
                  <c:v>324.51083227118187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1C-47BD-8981-153E0D663977}"/>
            </c:ext>
          </c:extLst>
        </c:ser>
        <c:ser>
          <c:idx val="12"/>
          <c:order val="10"/>
          <c:tx>
            <c:strRef>
              <c:f>Calculations!$B$16</c:f>
              <c:strCache>
                <c:ptCount val="1"/>
                <c:pt idx="0">
                  <c:v>Battery self-discharge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Calculations!$N$5</c:f>
              <c:strCache>
                <c:ptCount val="1"/>
                <c:pt idx="0">
                  <c:v>Lifetime mAh</c:v>
                </c:pt>
              </c:strCache>
            </c:strRef>
          </c:cat>
          <c:val>
            <c:numRef>
              <c:f>Calculations!$N$16</c:f>
              <c:numCache>
                <c:formatCode>General</c:formatCode>
                <c:ptCount val="1"/>
                <c:pt idx="0">
                  <c:v>68.508897122898276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6-4F6A-A36B-3AD6C0B67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537439"/>
        <c:axId val="436533599"/>
      </c:barChart>
      <c:catAx>
        <c:axId val="4365374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6533599"/>
        <c:crosses val="autoZero"/>
        <c:auto val="1"/>
        <c:lblAlgn val="ctr"/>
        <c:lblOffset val="100"/>
        <c:noMultiLvlLbl val="0"/>
      </c:catAx>
      <c:valAx>
        <c:axId val="436533599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3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49590</xdr:colOff>
      <xdr:row>10</xdr:row>
      <xdr:rowOff>36206</xdr:rowOff>
    </xdr:from>
    <xdr:to>
      <xdr:col>9</xdr:col>
      <xdr:colOff>304931</xdr:colOff>
      <xdr:row>22</xdr:row>
      <xdr:rowOff>99391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F3C3FF-0272-42C4-AF17-8F6EB5FBC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7A422C-7F9B-4C30-9C47-B47095B8B692}" name="Table3" displayName="Table3" ref="A4:C9" totalsRowShown="0" headerRowDxfId="31" dataDxfId="30">
  <autoFilter ref="A4:C9" xr:uid="{1C7A422C-7F9B-4C30-9C47-B47095B8B692}"/>
  <tableColumns count="3">
    <tableColumn id="1" xr3:uid="{276AE07C-98CE-43FF-B9D7-09BEC9B30E16}" name="Sensor Configuration" dataDxfId="29"/>
    <tableColumn id="2" xr3:uid="{01FC7BFC-6672-44BD-8F97-C7035489A553}" name="Value" dataDxfId="28"/>
    <tableColumn id="3" xr3:uid="{85532B98-90E2-4052-BADA-2337E4982AE7}" name="Units" dataDxfId="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BA8FE3-D7A0-481B-BEF4-9E0FACBA6C3B}" name="Table4" displayName="Table4" ref="E4:F7" totalsRowShown="0" headerRowDxfId="26" dataDxfId="25">
  <autoFilter ref="E4:F7" xr:uid="{12BA8FE3-D7A0-481B-BEF4-9E0FACBA6C3B}"/>
  <tableColumns count="2">
    <tableColumn id="1" xr3:uid="{3B564EE3-0A2C-4C2F-9533-E43B8CD085F6}" name="Units" dataDxfId="24"/>
    <tableColumn id="2" xr3:uid="{42F7FC26-F694-4369-9BEB-84E47FAC6149}" name="Duration" dataDxfId="2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2559A-B252-499A-8229-6FE6519C019F}" name="Units" displayName="Units" ref="A2:B10" totalsRowShown="0" headerRowDxfId="22" dataDxfId="21">
  <autoFilter ref="A2:B10" xr:uid="{5EF2559A-B252-499A-8229-6FE6519C019F}"/>
  <sortState xmlns:xlrd2="http://schemas.microsoft.com/office/spreadsheetml/2017/richdata2" ref="A3:B10">
    <sortCondition ref="A2:A10"/>
  </sortState>
  <tableColumns count="2">
    <tableColumn id="1" xr3:uid="{04929DE1-2A29-449A-8B8A-700F8E38ABEB}" name="Intervals" dataDxfId="20"/>
    <tableColumn id="2" xr3:uid="{EEFC777B-05E5-41E0-A635-FB961C140994}" name="Multiplier" dataDxfId="1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0DFA28-7F1C-458D-A0C6-7F1B56C3FE4B}" name="TOA" displayName="TOA" ref="D2:F6" totalsRowShown="0" headerRowDxfId="18" dataDxfId="17">
  <autoFilter ref="D2:F6" xr:uid="{770DFA28-7F1C-458D-A0C6-7F1B56C3FE4B}"/>
  <tableColumns count="3">
    <tableColumn id="1" xr3:uid="{E59BAFDC-4910-4929-B0E3-ED7400895A27}" name="DR" dataDxfId="16"/>
    <tableColumn id="2" xr3:uid="{AE05F142-001E-48BC-B9F4-03DF1D24AFD0}" name="TOA" dataDxfId="15"/>
    <tableColumn id="3" xr3:uid="{4A71F1BF-015F-4771-8B5C-3C99EA1B16BB}" name="Interval" dataDxfId="1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012679-393B-4078-9C46-54C3773EC621}" name="DevicePower" displayName="DevicePower" ref="H2:S15" totalsRowShown="0" headerRowDxfId="13" dataDxfId="12">
  <autoFilter ref="H2:S15" xr:uid="{E7012679-393B-4078-9C46-54C3773EC621}"/>
  <sortState xmlns:xlrd2="http://schemas.microsoft.com/office/spreadsheetml/2017/richdata2" ref="H3:S15">
    <sortCondition ref="H2:H15"/>
  </sortState>
  <tableColumns count="12">
    <tableColumn id="1" xr3:uid="{F7436D0B-A694-4867-9E65-444F8F1A6BA1}" name="Device" dataDxfId="11"/>
    <tableColumn id="2" xr3:uid="{495138FF-8DE1-4E94-A16C-382F7526B887}" name="Super period" dataDxfId="10"/>
    <tableColumn id="3" xr3:uid="{0A9DBC21-BB72-4958-9BC7-14663330767B}" name="LQ period" dataDxfId="9"/>
    <tableColumn id="4" xr3:uid="{EEF2D543-9F2B-45C9-82AD-91DCDBA82DDB}" name="Sensor uplink period" dataDxfId="8"/>
    <tableColumn id="5" xr3:uid="{3CCB1842-9BE8-4C8B-9BF6-D4CAF210BF8A}" name="Reading sensor(s)" dataDxfId="7"/>
    <tableColumn id="6" xr3:uid="{F0F46FA9-6F5F-4E32-8564-C0A288DE7773}" name="RX " dataDxfId="6"/>
    <tableColumn id="7" xr3:uid="{D89411A4-6286-4A6B-B87C-C3F564665556}" name="Wake" dataDxfId="5"/>
    <tableColumn id="8" xr3:uid="{DB077250-98E9-447D-8CB4-D9BDF66212A6}" name="Shutdown" dataDxfId="4"/>
    <tableColumn id="9" xr3:uid="{F398D3A1-9A55-4015-8417-A59EC5198B94}" name="Watchdog" dataDxfId="3"/>
    <tableColumn id="10" xr3:uid="{B9487C0D-3AD4-456F-B250-D88D2B7AE204}" name="Active" dataDxfId="2"/>
    <tableColumn id="11" xr3:uid="{695213B6-4C42-489F-9CAB-A6D5DBA500A0}" name="Sleep" dataDxfId="1"/>
    <tableColumn id="12" xr3:uid="{DD79A42D-A1C9-4967-962C-F8EA3851CB53}" name="D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2349-76E0-4A57-9212-AD4CCDB7F2FC}">
  <dimension ref="A1:F14"/>
  <sheetViews>
    <sheetView tabSelected="1" zoomScale="160" zoomScaleNormal="160" workbookViewId="0">
      <selection activeCell="B6" sqref="B6"/>
    </sheetView>
  </sheetViews>
  <sheetFormatPr defaultColWidth="9.140625" defaultRowHeight="15" x14ac:dyDescent="0.25"/>
  <cols>
    <col min="1" max="1" width="23.85546875" style="3" bestFit="1" customWidth="1"/>
    <col min="2" max="3" width="10.140625" style="3" bestFit="1" customWidth="1"/>
    <col min="4" max="4" width="17.28515625" style="3" bestFit="1" customWidth="1"/>
    <col min="5" max="5" width="8.42578125" style="3" bestFit="1" customWidth="1"/>
    <col min="6" max="6" width="13.28515625" style="3" bestFit="1" customWidth="1"/>
    <col min="7" max="16384" width="9.140625" style="3"/>
  </cols>
  <sheetData>
    <row r="1" spans="1:6" ht="26.25" x14ac:dyDescent="0.4">
      <c r="A1" s="7" t="s">
        <v>0</v>
      </c>
      <c r="B1" s="18" t="s">
        <v>66</v>
      </c>
      <c r="C1" s="18"/>
      <c r="D1" s="18"/>
      <c r="E1" s="19" t="str">
        <f>VLOOKUP(DeviceType,DevicePower[],12,0)</f>
        <v>Estimated</v>
      </c>
      <c r="F1" s="19"/>
    </row>
    <row r="2" spans="1:6" x14ac:dyDescent="0.25">
      <c r="A2" s="6" t="s">
        <v>2</v>
      </c>
    </row>
    <row r="3" spans="1:6" x14ac:dyDescent="0.25">
      <c r="A3" s="6"/>
      <c r="E3" s="20" t="s">
        <v>3</v>
      </c>
      <c r="F3" s="20"/>
    </row>
    <row r="4" spans="1:6" x14ac:dyDescent="0.25">
      <c r="A4" s="6" t="s">
        <v>4</v>
      </c>
      <c r="B4" s="6" t="s">
        <v>5</v>
      </c>
      <c r="C4" s="6" t="s">
        <v>6</v>
      </c>
      <c r="E4" s="6" t="s">
        <v>6</v>
      </c>
      <c r="F4" s="3" t="s">
        <v>7</v>
      </c>
    </row>
    <row r="5" spans="1:6" x14ac:dyDescent="0.25">
      <c r="A5" s="3" t="s">
        <v>8</v>
      </c>
      <c r="B5" s="1">
        <v>24</v>
      </c>
      <c r="C5" s="1" t="s">
        <v>9</v>
      </c>
      <c r="E5" s="3" t="s">
        <v>10</v>
      </c>
      <c r="F5" s="5">
        <f>Calculations!D3</f>
        <v>2083.812287488156</v>
      </c>
    </row>
    <row r="6" spans="1:6" x14ac:dyDescent="0.25">
      <c r="A6" s="3" t="s">
        <v>11</v>
      </c>
      <c r="B6" s="1">
        <v>24</v>
      </c>
      <c r="C6" s="1" t="s">
        <v>9</v>
      </c>
      <c r="E6" s="3" t="s">
        <v>12</v>
      </c>
      <c r="F6" s="5">
        <f>Calculations!E3</f>
        <v>69.460409582938539</v>
      </c>
    </row>
    <row r="7" spans="1:6" x14ac:dyDescent="0.25">
      <c r="A7" s="3" t="s">
        <v>13</v>
      </c>
      <c r="B7" s="1">
        <v>60</v>
      </c>
      <c r="C7" s="1" t="s">
        <v>14</v>
      </c>
      <c r="E7" s="3" t="s">
        <v>15</v>
      </c>
      <c r="F7" s="5">
        <f>Calculations!F3</f>
        <v>5.7090747602415233</v>
      </c>
    </row>
    <row r="8" spans="1:6" x14ac:dyDescent="0.25">
      <c r="A8" s="3" t="s">
        <v>16</v>
      </c>
      <c r="B8" s="1">
        <v>30</v>
      </c>
      <c r="C8" s="1" t="s">
        <v>17</v>
      </c>
    </row>
    <row r="9" spans="1:6" x14ac:dyDescent="0.25">
      <c r="A9" s="3" t="s">
        <v>18</v>
      </c>
      <c r="B9" s="1" t="s">
        <v>59</v>
      </c>
      <c r="C9" s="2" t="s">
        <v>20</v>
      </c>
    </row>
    <row r="14" spans="1:6" x14ac:dyDescent="0.25">
      <c r="B14" s="4" t="s">
        <v>21</v>
      </c>
      <c r="C14" s="4" t="s">
        <v>21</v>
      </c>
    </row>
  </sheetData>
  <sheetProtection algorithmName="SHA-512" hashValue="0bMLN5U0sRtFbsztI3qwvpXAO9R9+LBPKVz+ZP3hiAGDvvbOdX4B3XXZ9Y9Fzzxn4l66qcZXVUfWUVOjPJg9Uw==" saltValue="JrygBuV1rs82rBmdN5KG4A==" spinCount="100000" sheet="1" objects="1" scenarios="1" selectLockedCells="1" autoFilter="0" pivotTables="0"/>
  <mergeCells count="3">
    <mergeCell ref="B1:D1"/>
    <mergeCell ref="E1:F1"/>
    <mergeCell ref="E3:F3"/>
  </mergeCells>
  <dataValidations count="1">
    <dataValidation type="list" allowBlank="1" showInputMessage="1" showErrorMessage="1" sqref="B1" xr:uid="{B489D60B-DED4-4A75-B56A-01CFE01C64BE}">
      <formula1>Devices</formula1>
    </dataValidation>
  </dataValidations>
  <pageMargins left="0.7" right="0.7" top="0.75" bottom="0.75" header="0.3" footer="0.3"/>
  <drawing r:id="rId1"/>
  <legacy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6CEB26-212D-43C9-8683-65329F49B93D}">
          <x14:formula1>
            <xm:f>tables!$A$3:$A$10</xm:f>
          </x14:formula1>
          <xm:sqref>C5:C8</xm:sqref>
        </x14:dataValidation>
        <x14:dataValidation type="list" allowBlank="1" showInputMessage="1" showErrorMessage="1" xr:uid="{AA1CC241-2C0D-4E23-8D50-272E8F656CAF}">
          <x14:formula1>
            <xm:f>tables!$D$3:$D$6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02EB-0E88-40B6-B47B-3D8984C10F41}">
  <dimension ref="B2:N16"/>
  <sheetViews>
    <sheetView zoomScale="160" zoomScaleNormal="160" workbookViewId="0">
      <selection activeCell="D22" sqref="D22"/>
    </sheetView>
  </sheetViews>
  <sheetFormatPr defaultColWidth="7.28515625" defaultRowHeight="15" x14ac:dyDescent="0.25"/>
  <cols>
    <col min="1" max="1" width="1.5703125" style="8" customWidth="1"/>
    <col min="2" max="2" width="20.7109375" style="8" customWidth="1"/>
    <col min="3" max="3" width="7" style="8" bestFit="1" customWidth="1"/>
    <col min="4" max="4" width="9" style="8" customWidth="1"/>
    <col min="5" max="5" width="8.7109375" style="8" bestFit="1" customWidth="1"/>
    <col min="6" max="6" width="5.7109375" style="8" bestFit="1" customWidth="1"/>
    <col min="7" max="7" width="12" style="8" bestFit="1" customWidth="1"/>
    <col min="8" max="8" width="6.85546875" style="8" bestFit="1" customWidth="1"/>
    <col min="9" max="9" width="7" style="8" bestFit="1" customWidth="1"/>
    <col min="10" max="11" width="12" style="8" bestFit="1" customWidth="1"/>
    <col min="12" max="12" width="10.7109375" style="8" bestFit="1" customWidth="1"/>
    <col min="13" max="13" width="10" style="8" bestFit="1" customWidth="1"/>
    <col min="14" max="14" width="13.140625" style="8" bestFit="1" customWidth="1"/>
    <col min="15" max="16384" width="7.28515625" style="8"/>
  </cols>
  <sheetData>
    <row r="2" spans="2:14" x14ac:dyDescent="0.25">
      <c r="D2" s="8" t="s">
        <v>10</v>
      </c>
      <c r="E2" s="8" t="s">
        <v>12</v>
      </c>
      <c r="F2" s="8" t="s">
        <v>15</v>
      </c>
      <c r="K2" s="8" t="s">
        <v>22</v>
      </c>
      <c r="L2" s="8" t="s">
        <v>23</v>
      </c>
    </row>
    <row r="3" spans="2:14" x14ac:dyDescent="0.25">
      <c r="B3" s="8" t="s">
        <v>24</v>
      </c>
      <c r="C3" s="9">
        <v>1200</v>
      </c>
      <c r="D3" s="10">
        <f>Battery/SUM(M6:M16)</f>
        <v>2083.812287488156</v>
      </c>
      <c r="E3" s="10">
        <f>D3/30</f>
        <v>69.460409582938539</v>
      </c>
      <c r="F3" s="10">
        <f>D3/365</f>
        <v>5.7090747602415233</v>
      </c>
      <c r="K3" s="8" t="s">
        <v>25</v>
      </c>
      <c r="L3" s="8" t="s">
        <v>26</v>
      </c>
    </row>
    <row r="5" spans="2:14" x14ac:dyDescent="0.25">
      <c r="B5" s="8" t="s">
        <v>27</v>
      </c>
      <c r="C5" s="8" t="s">
        <v>28</v>
      </c>
      <c r="D5" s="8" t="s">
        <v>29</v>
      </c>
      <c r="E5" s="8" t="s">
        <v>7</v>
      </c>
      <c r="F5" s="8" t="s">
        <v>30</v>
      </c>
      <c r="G5" s="8" t="s">
        <v>9</v>
      </c>
      <c r="H5" s="8" t="s">
        <v>31</v>
      </c>
      <c r="I5" s="8" t="s">
        <v>30</v>
      </c>
      <c r="J5" s="8" t="s">
        <v>9</v>
      </c>
      <c r="K5" s="8" t="s">
        <v>32</v>
      </c>
      <c r="L5" s="8" t="s">
        <v>33</v>
      </c>
      <c r="M5" s="8" t="s">
        <v>34</v>
      </c>
      <c r="N5" s="8" t="s">
        <v>35</v>
      </c>
    </row>
    <row r="6" spans="2:14" x14ac:dyDescent="0.25">
      <c r="B6" s="8" t="s">
        <v>36</v>
      </c>
      <c r="C6" s="11">
        <f>VLOOKUP(DeviceType,DevicePower[],2,0)</f>
        <v>118.614</v>
      </c>
      <c r="D6" s="8">
        <f t="shared" ref="D6:D13" si="0">C6*G6</f>
        <v>6.7873566666666668E-3</v>
      </c>
      <c r="E6" s="11">
        <f>VLOOKUP(Main!$B$9,TOA[],2,0)</f>
        <v>206</v>
      </c>
      <c r="F6" s="8" t="s">
        <v>37</v>
      </c>
      <c r="G6" s="8">
        <f>E6*VLOOKUP(F6,Units[],2,0)</f>
        <v>5.722222222222222E-5</v>
      </c>
      <c r="H6" s="11">
        <f>Main!$B$5</f>
        <v>24</v>
      </c>
      <c r="I6" s="11" t="str">
        <f>Main!$C$5</f>
        <v>Hours</v>
      </c>
      <c r="J6" s="8">
        <f>H6*VLOOKUP(I6,Units[],2,0)</f>
        <v>24</v>
      </c>
      <c r="K6" s="12">
        <f>24/J6</f>
        <v>1</v>
      </c>
      <c r="L6" s="13">
        <f t="shared" ref="L6:L14" si="1">K6*G6</f>
        <v>5.722222222222222E-5</v>
      </c>
      <c r="M6" s="14">
        <f t="shared" ref="M6:M15" si="2">L6*C6</f>
        <v>6.7873566666666668E-3</v>
      </c>
      <c r="N6" s="8">
        <f t="shared" ref="N6:N16" si="3">M6*D$3</f>
        <v>14.143577221564653</v>
      </c>
    </row>
    <row r="7" spans="2:14" x14ac:dyDescent="0.25">
      <c r="B7" s="8" t="s">
        <v>38</v>
      </c>
      <c r="C7" s="11">
        <f>VLOOKUP(DeviceType,DevicePower[],3,0)</f>
        <v>118.614</v>
      </c>
      <c r="D7" s="8">
        <f t="shared" si="0"/>
        <v>6.7873566666666668E-3</v>
      </c>
      <c r="E7" s="8">
        <f>VLOOKUP(Main!$B$9,TOA[],2,0)</f>
        <v>206</v>
      </c>
      <c r="F7" s="8" t="s">
        <v>37</v>
      </c>
      <c r="G7" s="8">
        <f>E7*VLOOKUP(F7,Units[],2,0)</f>
        <v>5.722222222222222E-5</v>
      </c>
      <c r="H7" s="11">
        <f>Main!$B$6</f>
        <v>24</v>
      </c>
      <c r="I7" s="11" t="str">
        <f>Main!$C$6</f>
        <v>Hours</v>
      </c>
      <c r="J7" s="8">
        <f>H7*VLOOKUP(I7,Units[],2,0)</f>
        <v>24</v>
      </c>
      <c r="K7" s="12">
        <f>24/J7</f>
        <v>1</v>
      </c>
      <c r="L7" s="13">
        <f t="shared" si="1"/>
        <v>5.722222222222222E-5</v>
      </c>
      <c r="M7" s="14">
        <f t="shared" si="2"/>
        <v>6.7873566666666668E-3</v>
      </c>
      <c r="N7" s="8">
        <f t="shared" si="3"/>
        <v>14.143577221564653</v>
      </c>
    </row>
    <row r="8" spans="2:14" x14ac:dyDescent="0.25">
      <c r="B8" s="8" t="s">
        <v>39</v>
      </c>
      <c r="C8" s="11">
        <f>VLOOKUP(DeviceType,DevicePower[],4,0)</f>
        <v>118.614</v>
      </c>
      <c r="D8" s="8">
        <f t="shared" si="0"/>
        <v>6.7873566666666668E-3</v>
      </c>
      <c r="E8" s="8">
        <f>VLOOKUP(Main!$B$9,TOA[],2,0)</f>
        <v>206</v>
      </c>
      <c r="F8" s="8" t="s">
        <v>37</v>
      </c>
      <c r="G8" s="8">
        <f>E8*VLOOKUP(F8,Units[],2,0)</f>
        <v>5.722222222222222E-5</v>
      </c>
      <c r="H8" s="11">
        <f>Main!$B$7</f>
        <v>60</v>
      </c>
      <c r="I8" s="11" t="str">
        <f>Main!$C$7</f>
        <v>Min</v>
      </c>
      <c r="J8" s="8">
        <f>H8*VLOOKUP(I8,Units[],2,0)</f>
        <v>1</v>
      </c>
      <c r="K8" s="12">
        <f>IF(J8=0,0,24/J8)</f>
        <v>24</v>
      </c>
      <c r="L8" s="13">
        <f t="shared" si="1"/>
        <v>1.3733333333333332E-3</v>
      </c>
      <c r="M8" s="14">
        <f t="shared" si="2"/>
        <v>0.16289656</v>
      </c>
      <c r="N8" s="8">
        <f t="shared" si="3"/>
        <v>339.44585331755167</v>
      </c>
    </row>
    <row r="9" spans="2:14" x14ac:dyDescent="0.25">
      <c r="B9" s="8" t="s">
        <v>40</v>
      </c>
      <c r="C9" s="11">
        <f>VLOOKUP(DeviceType,DevicePower[],5,0)</f>
        <v>1.06</v>
      </c>
      <c r="D9" s="15">
        <f t="shared" si="0"/>
        <v>3.6628888888888887E-6</v>
      </c>
      <c r="E9" s="8">
        <v>12.44</v>
      </c>
      <c r="F9" s="8" t="s">
        <v>37</v>
      </c>
      <c r="G9" s="8">
        <f>E9*VLOOKUP(F9,Units[],2,0)</f>
        <v>3.4555555555555552E-6</v>
      </c>
      <c r="H9" s="11">
        <f>Main!$B$8</f>
        <v>30</v>
      </c>
      <c r="I9" s="11" t="str">
        <f>Main!$C$8</f>
        <v>Sec</v>
      </c>
      <c r="J9" s="8">
        <f>H9*VLOOKUP(I9,Units[],2,0)</f>
        <v>8.3333333333333332E-3</v>
      </c>
      <c r="K9" s="8">
        <f>24/J9</f>
        <v>2880</v>
      </c>
      <c r="L9" s="13">
        <f t="shared" si="1"/>
        <v>9.951999999999999E-3</v>
      </c>
      <c r="M9" s="14">
        <f t="shared" si="2"/>
        <v>1.054912E-2</v>
      </c>
      <c r="N9" s="8">
        <f t="shared" si="3"/>
        <v>21.982385878187056</v>
      </c>
    </row>
    <row r="10" spans="2:14" x14ac:dyDescent="0.25">
      <c r="B10" s="8" t="s">
        <v>41</v>
      </c>
      <c r="C10" s="11">
        <f>VLOOKUP(DeviceType,DevicePower[],6,0)</f>
        <v>17.556000000000001</v>
      </c>
      <c r="D10" s="15">
        <f t="shared" si="0"/>
        <v>1.4727533333333332E-3</v>
      </c>
      <c r="E10" s="8">
        <v>302</v>
      </c>
      <c r="F10" s="8" t="s">
        <v>37</v>
      </c>
      <c r="G10" s="8">
        <f>E10*VLOOKUP(F10,Units[],2,0)</f>
        <v>8.388888888888888E-5</v>
      </c>
      <c r="K10" s="8">
        <f>SUM(K6:K8)*2</f>
        <v>52</v>
      </c>
      <c r="L10" s="13">
        <f t="shared" si="1"/>
        <v>4.3622222222222222E-3</v>
      </c>
      <c r="M10" s="14">
        <f t="shared" si="2"/>
        <v>7.6583173333333338E-2</v>
      </c>
      <c r="N10" s="8">
        <f t="shared" si="3"/>
        <v>159.5849576068353</v>
      </c>
    </row>
    <row r="11" spans="2:14" x14ac:dyDescent="0.25">
      <c r="B11" s="8" t="s">
        <v>42</v>
      </c>
      <c r="C11" s="11">
        <f>VLOOKUP(DeviceType,DevicePower[],7,0)</f>
        <v>9.7260000000000009</v>
      </c>
      <c r="D11" s="15">
        <f t="shared" si="0"/>
        <v>5.5654333333333332E-4</v>
      </c>
      <c r="E11" s="8">
        <v>206</v>
      </c>
      <c r="F11" s="8" t="s">
        <v>37</v>
      </c>
      <c r="G11" s="8">
        <f>E11*VLOOKUP(F11,Units[],2,0)</f>
        <v>5.722222222222222E-5</v>
      </c>
      <c r="K11" s="8">
        <f>SUM(K6:K8)</f>
        <v>26</v>
      </c>
      <c r="L11" s="13">
        <f t="shared" si="1"/>
        <v>1.4877777777777778E-3</v>
      </c>
      <c r="M11" s="14">
        <f t="shared" si="2"/>
        <v>1.4470126666666668E-2</v>
      </c>
      <c r="N11" s="8">
        <f t="shared" si="3"/>
        <v>30.153027749510034</v>
      </c>
    </row>
    <row r="12" spans="2:14" x14ac:dyDescent="0.25">
      <c r="B12" s="8" t="s">
        <v>43</v>
      </c>
      <c r="C12" s="11">
        <f>VLOOKUP(DeviceType,DevicePower[],8,0)</f>
        <v>9.2940000000000005</v>
      </c>
      <c r="D12" s="15">
        <f t="shared" si="0"/>
        <v>5.6925750000000005E-4</v>
      </c>
      <c r="E12" s="8">
        <v>220.5</v>
      </c>
      <c r="F12" s="8" t="s">
        <v>37</v>
      </c>
      <c r="G12" s="8">
        <f>E12*VLOOKUP(F12,Units[],2,0)</f>
        <v>6.1249999999999998E-5</v>
      </c>
      <c r="K12" s="8">
        <f>SUM(K6:K8)</f>
        <v>26</v>
      </c>
      <c r="L12" s="13">
        <f t="shared" si="1"/>
        <v>1.5924999999999999E-3</v>
      </c>
      <c r="M12" s="14">
        <f t="shared" si="2"/>
        <v>1.4800695000000001E-2</v>
      </c>
      <c r="N12" s="8">
        <f t="shared" si="3"/>
        <v>30.841870104364514</v>
      </c>
    </row>
    <row r="13" spans="2:14" x14ac:dyDescent="0.25">
      <c r="B13" s="8" t="s">
        <v>44</v>
      </c>
      <c r="C13" s="11">
        <f>VLOOKUP(DeviceType,DevicePower[],9,0)</f>
        <v>2.589</v>
      </c>
      <c r="D13" s="15">
        <f t="shared" si="0"/>
        <v>4.9489454166666669E-8</v>
      </c>
      <c r="E13" s="8">
        <v>6.8815000000000001E-2</v>
      </c>
      <c r="F13" s="8" t="s">
        <v>37</v>
      </c>
      <c r="G13" s="8">
        <f>E13*VLOOKUP(F13,Units[],2,0)</f>
        <v>1.9115277777777778E-8</v>
      </c>
      <c r="H13" s="8">
        <v>250</v>
      </c>
      <c r="I13" s="8" t="s">
        <v>37</v>
      </c>
      <c r="J13" s="8">
        <f>H13*VLOOKUP(I13,Units[],2,0)</f>
        <v>6.9444444444444444E-5</v>
      </c>
      <c r="K13" s="8">
        <f>24/J13</f>
        <v>345600</v>
      </c>
      <c r="L13" s="13">
        <f t="shared" si="1"/>
        <v>6.6062400000000002E-3</v>
      </c>
      <c r="M13" s="14">
        <f t="shared" si="2"/>
        <v>1.7103555360000001E-2</v>
      </c>
      <c r="N13" s="8">
        <f t="shared" si="3"/>
        <v>35.640598818901914</v>
      </c>
    </row>
    <row r="14" spans="2:14" x14ac:dyDescent="0.25">
      <c r="B14" s="8" t="s">
        <v>45</v>
      </c>
      <c r="C14" s="11">
        <f>VLOOKUP(DeviceType,DevicePower[],10,0)</f>
        <v>6.4</v>
      </c>
      <c r="D14" s="15"/>
      <c r="E14" s="8">
        <f>987+685</f>
        <v>1672</v>
      </c>
      <c r="F14" s="8" t="s">
        <v>37</v>
      </c>
      <c r="G14" s="8">
        <f>E14*VLOOKUP(F14,Units[],2,0)</f>
        <v>4.6444444444444441E-4</v>
      </c>
      <c r="K14" s="8">
        <f>SUM(K6:K8)</f>
        <v>26</v>
      </c>
      <c r="L14" s="13">
        <f t="shared" si="1"/>
        <v>1.2075555555555555E-2</v>
      </c>
      <c r="M14" s="14">
        <f t="shared" si="2"/>
        <v>7.728355555555555E-2</v>
      </c>
      <c r="N14" s="8">
        <f t="shared" si="3"/>
        <v>161.0444226874402</v>
      </c>
    </row>
    <row r="15" spans="2:14" x14ac:dyDescent="0.25">
      <c r="B15" s="8" t="s">
        <v>46</v>
      </c>
      <c r="C15" s="11">
        <f>VLOOKUP(DeviceType,DevicePower[],11,0)</f>
        <v>6.4929999999999996E-3</v>
      </c>
      <c r="L15" s="13">
        <f>24-SUM(L6:L10)</f>
        <v>23.984197999999999</v>
      </c>
      <c r="M15" s="14">
        <f t="shared" si="2"/>
        <v>0.15572939761399998</v>
      </c>
      <c r="N15" s="8">
        <f t="shared" si="3"/>
        <v>324.51083227118187</v>
      </c>
    </row>
    <row r="16" spans="2:14" x14ac:dyDescent="0.25">
      <c r="B16" s="8" t="s">
        <v>47</v>
      </c>
      <c r="D16" s="8">
        <f>Battery*0.05</f>
        <v>60</v>
      </c>
      <c r="M16" s="14">
        <f>D16/(5*365)</f>
        <v>3.287671232876712E-2</v>
      </c>
      <c r="N16" s="8">
        <f t="shared" si="3"/>
        <v>68.508897122898276</v>
      </c>
    </row>
  </sheetData>
  <sheetProtection algorithmName="SHA-512" hashValue="UJ2b9Eptj08Cq7Rbvs3kIUjh0rxyB8t2RTFmgd5wDsNDYNc4mg5HalBINMFG/ra2grdLDlMe1dk92P5f2PnRCA==" saltValue="gSSdeRukYx6U7UUzHLgp6w==" spinCount="100000" sheet="1" objects="1" scenarios="1" selectLockedCells="1" selectUnlockedCells="1"/>
  <autoFilter ref="B5:N15" xr:uid="{2E1402EB-0E88-40B6-B47B-3D8984C10F41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 xr:uid="{DDF72412-69E1-4847-B382-CA5EE7DCF432}">
          <x14:formula1>
            <xm:f>tables!$E$3:$E$6</xm:f>
          </x14:formula1>
          <xm:sqref>E6:E8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1287-C485-4AC5-81F0-511A36A1B851}">
  <dimension ref="A1:S15"/>
  <sheetViews>
    <sheetView workbookViewId="0">
      <selection activeCell="R17" sqref="R17"/>
    </sheetView>
  </sheetViews>
  <sheetFormatPr defaultRowHeight="15" x14ac:dyDescent="0.25"/>
  <cols>
    <col min="1" max="1" width="11" style="8" bestFit="1" customWidth="1"/>
    <col min="2" max="2" width="12.28515625" style="8" bestFit="1" customWidth="1"/>
    <col min="3" max="3" width="9.140625" style="8"/>
    <col min="4" max="4" width="5.7109375" style="8" bestFit="1" customWidth="1"/>
    <col min="5" max="5" width="7" style="8" bestFit="1" customWidth="1"/>
    <col min="6" max="6" width="10.140625" style="8" bestFit="1" customWidth="1"/>
    <col min="7" max="7" width="9.140625" style="8"/>
    <col min="8" max="8" width="13.140625" style="8" bestFit="1" customWidth="1"/>
    <col min="9" max="10" width="9.140625" style="8" bestFit="1" customWidth="1"/>
    <col min="11" max="11" width="12.85546875" style="8" customWidth="1"/>
    <col min="12" max="12" width="11.140625" style="8" customWidth="1"/>
    <col min="13" max="13" width="7" style="8" bestFit="1" customWidth="1"/>
    <col min="14" max="14" width="8.42578125" style="8" bestFit="1" customWidth="1"/>
    <col min="15" max="16" width="12.28515625" style="8" bestFit="1" customWidth="1"/>
    <col min="17" max="17" width="8.85546875" style="8" bestFit="1" customWidth="1"/>
    <col min="18" max="18" width="9" style="8" bestFit="1" customWidth="1"/>
    <col min="19" max="19" width="9.85546875" style="8" bestFit="1" customWidth="1"/>
    <col min="20" max="16384" width="9.140625" style="8"/>
  </cols>
  <sheetData>
    <row r="1" spans="1:19" x14ac:dyDescent="0.25">
      <c r="I1" s="8" t="s">
        <v>28</v>
      </c>
      <c r="J1" s="8" t="s">
        <v>28</v>
      </c>
      <c r="K1" s="8" t="s">
        <v>28</v>
      </c>
      <c r="L1" s="8" t="s">
        <v>28</v>
      </c>
      <c r="M1" s="8" t="s">
        <v>28</v>
      </c>
      <c r="N1" s="8" t="s">
        <v>28</v>
      </c>
      <c r="O1" s="8" t="s">
        <v>28</v>
      </c>
      <c r="P1" s="8" t="s">
        <v>28</v>
      </c>
      <c r="Q1" s="8" t="s">
        <v>28</v>
      </c>
      <c r="R1" s="8" t="s">
        <v>28</v>
      </c>
    </row>
    <row r="2" spans="1:19" s="16" customFormat="1" ht="30" x14ac:dyDescent="0.25">
      <c r="A2" s="16" t="s">
        <v>48</v>
      </c>
      <c r="B2" s="16" t="s">
        <v>49</v>
      </c>
      <c r="D2" s="16" t="s">
        <v>50</v>
      </c>
      <c r="E2" s="16" t="s">
        <v>51</v>
      </c>
      <c r="F2" s="16" t="s">
        <v>52</v>
      </c>
      <c r="H2" s="16" t="s">
        <v>53</v>
      </c>
      <c r="I2" s="16" t="s">
        <v>36</v>
      </c>
      <c r="J2" s="16" t="s">
        <v>38</v>
      </c>
      <c r="K2" s="16" t="s">
        <v>39</v>
      </c>
      <c r="L2" s="16" t="s">
        <v>40</v>
      </c>
      <c r="M2" s="16" t="s">
        <v>41</v>
      </c>
      <c r="N2" s="16" t="s">
        <v>42</v>
      </c>
      <c r="O2" s="16" t="s">
        <v>43</v>
      </c>
      <c r="P2" s="16" t="s">
        <v>44</v>
      </c>
      <c r="Q2" s="16" t="s">
        <v>45</v>
      </c>
      <c r="R2" s="16" t="s">
        <v>46</v>
      </c>
      <c r="S2" s="16" t="s">
        <v>54</v>
      </c>
    </row>
    <row r="3" spans="1:19" x14ac:dyDescent="0.25">
      <c r="A3" s="8" t="s">
        <v>55</v>
      </c>
      <c r="B3" s="8">
        <v>1</v>
      </c>
      <c r="D3" s="8" t="s">
        <v>56</v>
      </c>
      <c r="E3" s="8">
        <v>371</v>
      </c>
      <c r="F3" s="8" t="s">
        <v>37</v>
      </c>
      <c r="H3" s="8" t="s">
        <v>57</v>
      </c>
      <c r="I3" s="8">
        <v>118.614</v>
      </c>
      <c r="J3" s="8">
        <v>118.614</v>
      </c>
      <c r="K3" s="8">
        <v>118.614</v>
      </c>
      <c r="L3" s="8">
        <v>0.88400000000000001</v>
      </c>
      <c r="M3" s="8">
        <v>17.556000000000001</v>
      </c>
      <c r="N3" s="8">
        <v>9.7260000000000009</v>
      </c>
      <c r="O3" s="8">
        <v>9.2940000000000005</v>
      </c>
      <c r="P3" s="8">
        <v>2.589</v>
      </c>
      <c r="Q3" s="8">
        <v>6.4</v>
      </c>
      <c r="R3" s="17">
        <v>6.4929999999999996E-3</v>
      </c>
      <c r="S3" s="8" t="s">
        <v>58</v>
      </c>
    </row>
    <row r="4" spans="1:19" x14ac:dyDescent="0.25">
      <c r="A4" s="8" t="s">
        <v>9</v>
      </c>
      <c r="B4" s="8">
        <v>1</v>
      </c>
      <c r="D4" s="8" t="s">
        <v>59</v>
      </c>
      <c r="E4" s="8">
        <v>206</v>
      </c>
      <c r="F4" s="8" t="s">
        <v>37</v>
      </c>
      <c r="H4" s="8" t="s">
        <v>60</v>
      </c>
      <c r="I4" s="8">
        <v>118.614</v>
      </c>
      <c r="J4" s="8">
        <v>118.614</v>
      </c>
      <c r="K4" s="8">
        <v>118.614</v>
      </c>
      <c r="L4" s="8">
        <v>1.06</v>
      </c>
      <c r="M4" s="8">
        <v>17.556000000000001</v>
      </c>
      <c r="N4" s="8">
        <v>9.7260000000000009</v>
      </c>
      <c r="O4" s="8">
        <v>9.2940000000000005</v>
      </c>
      <c r="P4" s="8">
        <v>2.589</v>
      </c>
      <c r="Q4" s="8">
        <v>6.4</v>
      </c>
      <c r="R4" s="17">
        <v>6.4929999999999996E-3</v>
      </c>
      <c r="S4" s="8" t="s">
        <v>58</v>
      </c>
    </row>
    <row r="5" spans="1:19" x14ac:dyDescent="0.25">
      <c r="A5" s="8" t="s">
        <v>61</v>
      </c>
      <c r="B5" s="8">
        <v>1</v>
      </c>
      <c r="D5" s="8" t="s">
        <v>62</v>
      </c>
      <c r="E5" s="8">
        <v>113</v>
      </c>
      <c r="F5" s="8" t="s">
        <v>37</v>
      </c>
      <c r="H5" s="8" t="s">
        <v>63</v>
      </c>
      <c r="I5" s="8">
        <v>118.614</v>
      </c>
      <c r="J5" s="8">
        <v>118.614</v>
      </c>
      <c r="K5" s="8">
        <v>118.614</v>
      </c>
      <c r="L5" s="8">
        <v>0.74146999999999996</v>
      </c>
      <c r="M5" s="8">
        <v>17.556000000000001</v>
      </c>
      <c r="N5" s="8">
        <v>9.7260000000000009</v>
      </c>
      <c r="O5" s="8">
        <v>9.2940000000000005</v>
      </c>
      <c r="P5" s="8">
        <v>2.589</v>
      </c>
      <c r="Q5" s="8">
        <v>6.4</v>
      </c>
      <c r="R5" s="17">
        <v>6.4929999999999996E-3</v>
      </c>
      <c r="S5" s="8" t="s">
        <v>58</v>
      </c>
    </row>
    <row r="6" spans="1:19" x14ac:dyDescent="0.25">
      <c r="A6" s="8" t="s">
        <v>64</v>
      </c>
      <c r="B6" s="8">
        <f>1/60</f>
        <v>1.6666666666666666E-2</v>
      </c>
      <c r="D6" s="8" t="s">
        <v>19</v>
      </c>
      <c r="E6" s="8">
        <v>62</v>
      </c>
      <c r="F6" s="8" t="s">
        <v>37</v>
      </c>
      <c r="H6" s="8" t="s">
        <v>65</v>
      </c>
      <c r="I6" s="8">
        <v>118.614</v>
      </c>
      <c r="J6" s="8">
        <v>118.614</v>
      </c>
      <c r="K6" s="8">
        <v>118.614</v>
      </c>
      <c r="L6" s="8">
        <v>0.47299999999999998</v>
      </c>
      <c r="M6" s="8">
        <v>17.556000000000001</v>
      </c>
      <c r="N6" s="8">
        <v>9.7260000000000009</v>
      </c>
      <c r="O6" s="8">
        <v>9.2940000000000005</v>
      </c>
      <c r="P6" s="8">
        <v>2.589</v>
      </c>
      <c r="Q6" s="8">
        <v>6.4</v>
      </c>
      <c r="R6" s="17">
        <v>6.4929999999999996E-3</v>
      </c>
      <c r="S6" s="8" t="s">
        <v>58</v>
      </c>
    </row>
    <row r="7" spans="1:19" x14ac:dyDescent="0.25">
      <c r="A7" s="8" t="s">
        <v>14</v>
      </c>
      <c r="B7" s="8">
        <f>1/60</f>
        <v>1.6666666666666666E-2</v>
      </c>
      <c r="H7" s="8" t="s">
        <v>66</v>
      </c>
      <c r="I7" s="8">
        <v>118.614</v>
      </c>
      <c r="J7" s="8">
        <v>118.614</v>
      </c>
      <c r="K7" s="8">
        <v>118.614</v>
      </c>
      <c r="L7" s="8">
        <v>1.06</v>
      </c>
      <c r="M7" s="8">
        <v>17.556000000000001</v>
      </c>
      <c r="N7" s="8">
        <v>9.7260000000000009</v>
      </c>
      <c r="O7" s="8">
        <v>9.2940000000000005</v>
      </c>
      <c r="P7" s="8">
        <v>2.589</v>
      </c>
      <c r="Q7" s="8">
        <v>6.4</v>
      </c>
      <c r="R7" s="17">
        <v>6.4929999999999996E-3</v>
      </c>
      <c r="S7" s="8" t="s">
        <v>58</v>
      </c>
    </row>
    <row r="8" spans="1:19" x14ac:dyDescent="0.25">
      <c r="A8" s="8" t="s">
        <v>37</v>
      </c>
      <c r="B8" s="8">
        <f>1/(3600*1000)</f>
        <v>2.7777777777777776E-7</v>
      </c>
      <c r="H8" s="8" t="s">
        <v>1</v>
      </c>
      <c r="I8" s="8">
        <v>121.175</v>
      </c>
      <c r="J8" s="8">
        <v>121.175</v>
      </c>
      <c r="K8" s="8">
        <v>121.175</v>
      </c>
      <c r="L8" s="8">
        <v>0.74146999999999996</v>
      </c>
      <c r="M8" s="8">
        <v>16.982600000000001</v>
      </c>
      <c r="N8" s="8">
        <v>9.7260000000000009</v>
      </c>
      <c r="O8" s="8">
        <v>9.2940000000000005</v>
      </c>
      <c r="P8" s="8">
        <v>0.74146999999999996</v>
      </c>
      <c r="Q8" s="8">
        <v>6.4</v>
      </c>
      <c r="R8" s="17">
        <v>1.6899999999999998E-2</v>
      </c>
      <c r="S8" s="8" t="s">
        <v>67</v>
      </c>
    </row>
    <row r="9" spans="1:19" x14ac:dyDescent="0.25">
      <c r="A9" s="8" t="s">
        <v>68</v>
      </c>
      <c r="B9" s="8">
        <f>1/3600</f>
        <v>2.7777777777777778E-4</v>
      </c>
      <c r="H9" s="8" t="s">
        <v>69</v>
      </c>
      <c r="I9" s="8">
        <v>118.614</v>
      </c>
      <c r="J9" s="8">
        <v>118.614</v>
      </c>
      <c r="K9" s="8">
        <v>118.614</v>
      </c>
      <c r="L9" s="8">
        <v>0.88400000000000001</v>
      </c>
      <c r="M9" s="8">
        <v>17.556000000000001</v>
      </c>
      <c r="N9" s="8">
        <v>9.7260000000000009</v>
      </c>
      <c r="O9" s="8">
        <v>9.2940000000000005</v>
      </c>
      <c r="P9" s="8">
        <v>2.589</v>
      </c>
      <c r="Q9" s="8">
        <v>6.4</v>
      </c>
      <c r="R9" s="17">
        <v>6.4929999999999996E-3</v>
      </c>
      <c r="S9" s="8" t="s">
        <v>58</v>
      </c>
    </row>
    <row r="10" spans="1:19" x14ac:dyDescent="0.25">
      <c r="A10" s="8" t="s">
        <v>17</v>
      </c>
      <c r="B10" s="8">
        <f>1/3600</f>
        <v>2.7777777777777778E-4</v>
      </c>
      <c r="H10" s="8" t="s">
        <v>70</v>
      </c>
      <c r="I10" s="8">
        <v>118.614</v>
      </c>
      <c r="J10" s="8">
        <v>118.614</v>
      </c>
      <c r="K10" s="8">
        <v>118.614</v>
      </c>
      <c r="L10" s="8">
        <v>1.06</v>
      </c>
      <c r="M10" s="8">
        <v>17.556000000000001</v>
      </c>
      <c r="N10" s="8">
        <v>9.8109999999999999</v>
      </c>
      <c r="O10" s="8">
        <v>9.2940000000000005</v>
      </c>
      <c r="P10" s="8">
        <v>2.589</v>
      </c>
      <c r="Q10" s="8">
        <v>6.4</v>
      </c>
      <c r="R10" s="17">
        <v>6.4929999999999996E-3</v>
      </c>
      <c r="S10" s="8" t="s">
        <v>58</v>
      </c>
    </row>
    <row r="11" spans="1:19" x14ac:dyDescent="0.25">
      <c r="H11" s="8" t="s">
        <v>71</v>
      </c>
      <c r="I11" s="8">
        <v>118.614</v>
      </c>
      <c r="J11" s="8">
        <v>118.614</v>
      </c>
      <c r="K11" s="8">
        <v>118.614</v>
      </c>
      <c r="L11" s="8">
        <v>0.88400000000000001</v>
      </c>
      <c r="M11" s="8">
        <v>17.556000000000001</v>
      </c>
      <c r="N11" s="8">
        <v>9.7260000000000009</v>
      </c>
      <c r="O11" s="8">
        <v>9.2940000000000005</v>
      </c>
      <c r="P11" s="8">
        <v>2.589</v>
      </c>
      <c r="Q11" s="8">
        <v>6.4</v>
      </c>
      <c r="R11" s="17">
        <v>6.4929999999999996E-3</v>
      </c>
      <c r="S11" s="8" t="s">
        <v>67</v>
      </c>
    </row>
    <row r="12" spans="1:19" x14ac:dyDescent="0.25">
      <c r="H12" s="8" t="s">
        <v>72</v>
      </c>
      <c r="I12" s="8">
        <v>118.614</v>
      </c>
      <c r="J12" s="8">
        <v>118.614</v>
      </c>
      <c r="K12" s="8">
        <v>118.614</v>
      </c>
      <c r="L12" s="8">
        <v>1.06</v>
      </c>
      <c r="M12" s="8">
        <v>17.556000000000001</v>
      </c>
      <c r="N12" s="8">
        <v>9.8109999999999999</v>
      </c>
      <c r="O12" s="8">
        <v>9.2940000000000005</v>
      </c>
      <c r="P12" s="8">
        <v>2.589</v>
      </c>
      <c r="Q12" s="8">
        <v>6.4</v>
      </c>
      <c r="R12" s="17">
        <v>6.4929999999999996E-3</v>
      </c>
      <c r="S12" s="8" t="s">
        <v>58</v>
      </c>
    </row>
    <row r="13" spans="1:19" x14ac:dyDescent="0.25">
      <c r="H13" s="8" t="s">
        <v>73</v>
      </c>
      <c r="I13" s="8">
        <v>118.614</v>
      </c>
      <c r="J13" s="8">
        <v>118.614</v>
      </c>
      <c r="K13" s="8">
        <v>118.614</v>
      </c>
      <c r="L13" s="8">
        <v>0.88400000000000001</v>
      </c>
      <c r="M13" s="8">
        <v>17.556000000000001</v>
      </c>
      <c r="N13" s="8">
        <v>9.7260000000000009</v>
      </c>
      <c r="O13" s="8">
        <v>9.2940000000000005</v>
      </c>
      <c r="P13" s="8">
        <v>2.589</v>
      </c>
      <c r="Q13" s="8">
        <v>6.4</v>
      </c>
      <c r="R13" s="17">
        <v>6.4929999999999996E-3</v>
      </c>
      <c r="S13" s="8" t="s">
        <v>58</v>
      </c>
    </row>
    <row r="14" spans="1:19" x14ac:dyDescent="0.25">
      <c r="H14" s="8" t="s">
        <v>74</v>
      </c>
      <c r="I14" s="8">
        <v>118.614</v>
      </c>
      <c r="J14" s="8">
        <v>118.614</v>
      </c>
      <c r="K14" s="8">
        <v>118.614</v>
      </c>
      <c r="L14" s="8">
        <v>1.06</v>
      </c>
      <c r="M14" s="8">
        <v>17.556000000000001</v>
      </c>
      <c r="N14" s="8">
        <v>9.8109999999999999</v>
      </c>
      <c r="O14" s="8">
        <v>9.2940000000000005</v>
      </c>
      <c r="P14" s="8">
        <v>2.589</v>
      </c>
      <c r="Q14" s="8">
        <v>6.4</v>
      </c>
      <c r="R14" s="17">
        <v>6.4929999999999996E-3</v>
      </c>
      <c r="S14" s="8" t="s">
        <v>58</v>
      </c>
    </row>
    <row r="15" spans="1:19" x14ac:dyDescent="0.25">
      <c r="H15" s="8" t="s">
        <v>75</v>
      </c>
      <c r="I15" s="8">
        <v>118.614</v>
      </c>
      <c r="J15" s="8">
        <v>118.614</v>
      </c>
      <c r="K15" s="8">
        <v>118.614</v>
      </c>
      <c r="L15" s="8">
        <v>1.06</v>
      </c>
      <c r="M15" s="8">
        <v>17.556000000000001</v>
      </c>
      <c r="N15" s="8">
        <v>9.8109999999999999</v>
      </c>
      <c r="O15" s="8">
        <v>9.2940000000000005</v>
      </c>
      <c r="P15" s="8">
        <v>2.589</v>
      </c>
      <c r="Q15" s="8">
        <v>6.4</v>
      </c>
      <c r="R15" s="17">
        <v>3.8419999999999999E-3</v>
      </c>
      <c r="S15" s="8" t="s">
        <v>67</v>
      </c>
    </row>
  </sheetData>
  <sheetProtection selectLockedCells="1" selectUnlockedCells="1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A5FC1CDF51414C81E2721F51901045" ma:contentTypeVersion="17" ma:contentTypeDescription="Create a new document." ma:contentTypeScope="" ma:versionID="3b375ae67f39b8dabaca07236fa5b2a2">
  <xsd:schema xmlns:xsd="http://www.w3.org/2001/XMLSchema" xmlns:xs="http://www.w3.org/2001/XMLSchema" xmlns:p="http://schemas.microsoft.com/office/2006/metadata/properties" xmlns:ns2="b1b5cbad-5187-4f24-b041-12c5e6521de3" xmlns:ns3="3a6fc17e-1900-4931-9c36-384fa8d6e111" targetNamespace="http://schemas.microsoft.com/office/2006/metadata/properties" ma:root="true" ma:fieldsID="d606b00ba174b3e14feaecd7176d4294" ns2:_="" ns3:_="">
    <xsd:import namespace="b1b5cbad-5187-4f24-b041-12c5e6521de3"/>
    <xsd:import namespace="3a6fc17e-1900-4931-9c36-384fa8d6e1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Testnotes" minOccurs="0"/>
                <xsd:element ref="ns2:Produ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5cbad-5187-4f24-b041-12c5e6521d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3a339f9-1db7-4d48-9924-5c1227d18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Testnotes" ma:index="23" nillable="true" ma:displayName="Test notes" ma:format="Dropdown" ma:internalName="Testnotes">
      <xsd:simpleType>
        <xsd:restriction base="dms:Text">
          <xsd:maxLength value="255"/>
        </xsd:restriction>
      </xsd:simpleType>
    </xsd:element>
    <xsd:element name="Product" ma:index="24" nillable="true" ma:displayName="Product" ma:description="Project &amp; rev (301 Gen2)" ma:format="Dropdown" ma:internalName="Produc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fc17e-1900-4931-9c36-384fa8d6e1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fb3379-4854-419f-b22f-b75cbce09395}" ma:internalName="TaxCatchAll" ma:showField="CatchAllData" ma:web="3a6fc17e-1900-4931-9c36-384fa8d6e1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b5cbad-5187-4f24-b041-12c5e6521de3">
      <Terms xmlns="http://schemas.microsoft.com/office/infopath/2007/PartnerControls"/>
    </lcf76f155ced4ddcb4097134ff3c332f>
    <TaxCatchAll xmlns="3a6fc17e-1900-4931-9c36-384fa8d6e111" xsi:nil="true"/>
    <SharedWithUsers xmlns="3a6fc17e-1900-4931-9c36-384fa8d6e111">
      <UserInfo>
        <DisplayName>Ethan Houle</DisplayName>
        <AccountId>16</AccountId>
        <AccountType/>
      </UserInfo>
      <UserInfo>
        <DisplayName>Aaron Kramer</DisplayName>
        <AccountId>23</AccountId>
        <AccountType/>
      </UserInfo>
      <UserInfo>
        <DisplayName>Steve Kovarik</DisplayName>
        <AccountId>117</AccountId>
        <AccountType/>
      </UserInfo>
    </SharedWithUsers>
    <Testnotes xmlns="b1b5cbad-5187-4f24-b041-12c5e6521de3" xsi:nil="true"/>
    <Product xmlns="b1b5cbad-5187-4f24-b041-12c5e6521de3" xsi:nil="true"/>
  </documentManagement>
</p:properties>
</file>

<file path=customXml/itemProps1.xml><?xml version="1.0" encoding="utf-8"?>
<ds:datastoreItem xmlns:ds="http://schemas.openxmlformats.org/officeDocument/2006/customXml" ds:itemID="{A0C607F3-A028-4AE0-91E8-7BF61AA408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b5cbad-5187-4f24-b041-12c5e6521de3"/>
    <ds:schemaRef ds:uri="3a6fc17e-1900-4931-9c36-384fa8d6e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6F0FEB-02EF-4661-8DA6-47EFE71762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F88AA3-8A89-4AE4-95E9-4C01742A793B}">
  <ds:schemaRefs>
    <ds:schemaRef ds:uri="http://schemas.microsoft.com/office/2006/metadata/properties"/>
    <ds:schemaRef ds:uri="http://schemas.microsoft.com/office/infopath/2007/PartnerControls"/>
    <ds:schemaRef ds:uri="b1b5cbad-5187-4f24-b041-12c5e6521de3"/>
    <ds:schemaRef ds:uri="3a6fc17e-1900-4931-9c36-384fa8d6e1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Main</vt:lpstr>
      <vt:lpstr>Calculations</vt:lpstr>
      <vt:lpstr>tables</vt:lpstr>
      <vt:lpstr>Battery</vt:lpstr>
      <vt:lpstr>Devices</vt:lpstr>
      <vt:lpstr>DeviceType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Kilts</dc:creator>
  <cp:keywords/>
  <dc:description/>
  <cp:lastModifiedBy>Nick Klein</cp:lastModifiedBy>
  <cp:revision/>
  <dcterms:created xsi:type="dcterms:W3CDTF">2014-08-07T19:26:21Z</dcterms:created>
  <dcterms:modified xsi:type="dcterms:W3CDTF">2025-12-02T17:09:38Z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ContentTypeId">
    <vt:lpwstr>0x01010077A5FC1CDF51414C81E2721F51901045</vt:lpwstr>
  </property>
  <property fmtid="{D5CDD505-2E9C-101B-9397-08002B2CF9AE}" pid="4" name="MediaServiceImageTags">
    <vt:lpwstr/>
  </property>
</Properties>
</file>